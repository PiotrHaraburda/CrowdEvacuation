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10B0D9F5-AAC4-444A-B318-421583FFF43A}" xr6:coauthVersionLast="47" xr6:coauthVersionMax="47" xr10:uidLastSave="{00000000-0000-0000-0000-000000000000}"/>
  <bookViews>
    <workbookView xWindow="28680" yWindow="-180" windowWidth="29040" windowHeight="15720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7" i="1"/>
  <c r="L8" i="1"/>
  <c r="L9" i="1"/>
  <c r="L10" i="1"/>
  <c r="L11" i="1"/>
  <c r="L12" i="1"/>
  <c r="L13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6" i="1"/>
</calcChain>
</file>

<file path=xl/sharedStrings.xml><?xml version="1.0" encoding="utf-8"?>
<sst xmlns="http://schemas.openxmlformats.org/spreadsheetml/2006/main" count="61" uniqueCount="61">
  <si>
    <t>#</t>
  </si>
  <si>
    <t>A</t>
  </si>
  <si>
    <t>B</t>
  </si>
  <si>
    <t>τ</t>
  </si>
  <si>
    <t>RSET [s]</t>
  </si>
  <si>
    <t>Mean speed [m/s]</t>
  </si>
  <si>
    <t>Error score</t>
  </si>
  <si>
    <t>Uwagi</t>
  </si>
  <si>
    <t>Run ID</t>
  </si>
  <si>
    <t>Mean headway [m]</t>
  </si>
  <si>
    <t>k</t>
  </si>
  <si>
    <t>κ</t>
  </si>
  <si>
    <t>Throughput (exit west) [p/s]</t>
  </si>
  <si>
    <t>Throughput (exit south) [p/s]</t>
  </si>
  <si>
    <t>Stałe:  m=80kg, r=N(0.185,0.015) m, v₀=N(1.34,0.26) m/s</t>
  </si>
  <si>
    <t>ten sam przypadek jak powyżej lecz większe odbijanie się od siebie spowodowane mniejszym A i brakiem predykcji</t>
  </si>
  <si>
    <t>KALIBRACJA SFM - Grid Search na Crossing_90 D_003</t>
  </si>
  <si>
    <t>D_003_SFM</t>
  </si>
  <si>
    <t>D_003_SFM_cal_01</t>
  </si>
  <si>
    <t>D_003_SFM_cal_02</t>
  </si>
  <si>
    <t>D_003_SFM_cal_03</t>
  </si>
  <si>
    <t>D_003_SFM_cal_04</t>
  </si>
  <si>
    <t>D_003_SFM_cal_05</t>
  </si>
  <si>
    <t>D_003_SFM_cal_06</t>
  </si>
  <si>
    <t>D_003_SFM_cal_07</t>
  </si>
  <si>
    <t>D_003_SFM_cal_08</t>
  </si>
  <si>
    <t>D_003_SFM_cal_09</t>
  </si>
  <si>
    <t>D_003_SFM_cal_10</t>
  </si>
  <si>
    <t>D_003_SFM_cal_11</t>
  </si>
  <si>
    <t>D_003_SFM_cal_12</t>
  </si>
  <si>
    <t>D_003_SFM_cal_13</t>
  </si>
  <si>
    <t>D_003_SFM_cal_14</t>
  </si>
  <si>
    <t>D_003_SFM_cal_15</t>
  </si>
  <si>
    <t>D_003_SFM_cal_16</t>
  </si>
  <si>
    <t>D_003_SFM_cal_17</t>
  </si>
  <si>
    <t>D_003_SFM_cal_18</t>
  </si>
  <si>
    <t>D_003_SFM_cal_19</t>
  </si>
  <si>
    <t>D_003_SFM_cal_20</t>
  </si>
  <si>
    <t>D_003_SFM_cal_21</t>
  </si>
  <si>
    <t>Cel empiryczny (Ghost D_003_SFM): RSET=184s, throughput (exit west)=1.52 ped/s, throughput (exit south)=1.79 ped/s, mean_speed=1.02 m/s, mean_headway=0,61 m</t>
  </si>
  <si>
    <t>kanoniczny z innym r - brak przewidywania, agenci spychają się na przeciwległe korytarze, zderzenia ale z zachowaniem dystansu - więc nie dochodzi do realnych kolizji, zator w rogu zamiast na środku - i to duży</t>
  </si>
  <si>
    <t>troche bardzije się od siebie odbijaja, o wiele mniejszy zator niż wyżej</t>
  </si>
  <si>
    <t>agenci podchodzą do siebie bliżej przed zderzeniem, dosyć dobre omijanie lecz zator w rogu i tak się utworzył poprzez to samo przepychanie co w runie 1</t>
  </si>
  <si>
    <t>dochodzi do bliższych spotkań między agentami, nie wykrywaja oni siebie na odległość, brak zatoru</t>
  </si>
  <si>
    <t>dochodzi do bezpośrednich spotkań między agentami, przepychają się, znikomy zator pod koniec</t>
  </si>
  <si>
    <t>ten sam efekt co powyżej, większe kolizje, zatoru brak</t>
  </si>
  <si>
    <t>agenci nadal zbliżają się do siebie (nie aż tak) ale wymijają się w łatwiejszy sposób prześlizgując się między sobą; występują zepchnięcia na zły korytarz</t>
  </si>
  <si>
    <t>ten sam przypadek jak powyżej lecz większe odbijanie się od siebie spowodowane mniejszym A i brakiem predykcji, większy zator</t>
  </si>
  <si>
    <t>sprawniejsze przeciskanie w tłumie, trochę agentów ląduje w rogu jak wyżej, szczególnie pod koniec</t>
  </si>
  <si>
    <t>wcześniejsze wykrywanie innych agentów, rzadkie spychanie na róg, zator znikomy</t>
  </si>
  <si>
    <t>to samo co wyżej lecz bliższe odstępy, bezpośrednie kontakty, zderzenia, brak zatoru</t>
  </si>
  <si>
    <t>to samo co wyżej lecz bliższe odstępy, bezpośrednie kontakty, brak zatoru</t>
  </si>
  <si>
    <t>to samo co wyżej lecz doszło do zatoru na rogu</t>
  </si>
  <si>
    <t>wczesne wykrywanie lecz i tak dochodzi do bezpośrednich kontaktów z powodu niskiej siły odpychania, dochodzi do większego zatoru w rogu</t>
  </si>
  <si>
    <t>podobna sytuacja jak powyżej, szybsze ruchy w tłumie i nie dochodzi do aż tylu bezpośrednich kontaktów, doszło do zatoru w rogu lecz mniejszego</t>
  </si>
  <si>
    <t>większy zator, agenci utrzymują większe odstępy i poruszają się wolniej podczas zderzeń, nie dochodzi do bezpośrednich kontaktów</t>
  </si>
  <si>
    <t>poodbna sytuacja jak powyżej ale lepsze przeciskanie się, nadal dosyć duży zator</t>
  </si>
  <si>
    <t>bliższe odstępy, zauważalnie inna charajkterystyka, zderzenia, czasami spychanie, nie do końca realistycznie przez to że agenci wykrywają innych bardzo późno</t>
  </si>
  <si>
    <t>dochodzi do bezpośrednich kontaktów i wpadania na siebie, tworzy się zator w rogu, na końcu został agent który bardzo powolnie wrócił do swojego koryartrza i opóźnił symulację</t>
  </si>
  <si>
    <t>ta sama sytuacja jak wyżej lecz większe odstępy</t>
  </si>
  <si>
    <t>bliskie spotkania i bezpośrednie kontakty, sprawne wymijanie, zator w rogu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</si>
</sst>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238"/>
    </font>
    <font>
      <sz val="11"/>
      <name val="Arial"/>
      <family val="2"/>
      <charset val="238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3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/>
    <xf numFmtId="0" fontId="0" fillId="0" borderId="0" xfId="0" applyFill="1" applyBorder="1"/>
    <xf numFmtId="164" fontId="5" fillId="0" borderId="0" xfId="0" applyNumberFormat="1" applyFont="1" applyFill="1" applyBorder="1" applyAlignment="1">
      <alignment horizontal="center" vertical="center"/>
    </xf>
    <xf numFmtId="0" fontId="0" fillId="0" borderId="0" xfId="0" applyFill="1"/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N38"/>
  <sheetViews>
    <sheetView tabSelected="1" topLeftCell="A6" workbookViewId="0">
      <selection activeCell="J40" sqref="J40"/>
    </sheetView>
  </sheetViews>
  <sheetFormatPr defaultRowHeight="15" x14ac:dyDescent="0.25"/>
  <cols>
    <col min="1" max="1" width="3.285156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5.28515625" customWidth="1"/>
    <col min="9" max="9" width="14.7109375" customWidth="1"/>
    <col min="10" max="10" width="19.140625" bestFit="1" customWidth="1"/>
    <col min="11" max="11" width="19.85546875" bestFit="1" customWidth="1"/>
    <col min="12" max="12" width="12.5703125" bestFit="1" customWidth="1"/>
    <col min="13" max="13" width="18" bestFit="1" customWidth="1"/>
    <col min="14" max="14" width="33.7109375" customWidth="1"/>
  </cols>
  <sheetData>
    <row r="1" spans="1:14" x14ac:dyDescent="0.25">
      <c r="A1" s="25" t="s">
        <v>16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x14ac:dyDescent="0.25">
      <c r="A2" s="25" t="s">
        <v>14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25" t="s">
        <v>39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5" spans="1:14" ht="45" x14ac:dyDescent="0.25">
      <c r="A5" s="1" t="s">
        <v>0</v>
      </c>
      <c r="B5" s="1" t="s">
        <v>1</v>
      </c>
      <c r="C5" s="1" t="s">
        <v>2</v>
      </c>
      <c r="D5" s="11" t="s">
        <v>10</v>
      </c>
      <c r="E5" s="11" t="s">
        <v>11</v>
      </c>
      <c r="F5" s="1" t="s">
        <v>3</v>
      </c>
      <c r="G5" s="1" t="s">
        <v>4</v>
      </c>
      <c r="H5" s="17" t="s">
        <v>12</v>
      </c>
      <c r="I5" s="17" t="s">
        <v>13</v>
      </c>
      <c r="J5" s="1" t="s">
        <v>5</v>
      </c>
      <c r="K5" s="4" t="s">
        <v>9</v>
      </c>
      <c r="L5" s="1" t="s">
        <v>6</v>
      </c>
      <c r="M5" s="1" t="s">
        <v>8</v>
      </c>
      <c r="N5" s="1" t="s">
        <v>7</v>
      </c>
    </row>
    <row r="6" spans="1:14" ht="105" x14ac:dyDescent="0.25">
      <c r="A6" s="2">
        <v>1</v>
      </c>
      <c r="B6" s="12">
        <v>2000</v>
      </c>
      <c r="C6" s="12">
        <v>0.08</v>
      </c>
      <c r="D6" s="12">
        <v>120000</v>
      </c>
      <c r="E6" s="12">
        <v>240000</v>
      </c>
      <c r="F6" s="12">
        <v>0.5</v>
      </c>
      <c r="G6" s="5">
        <v>195.76</v>
      </c>
      <c r="H6" s="5">
        <v>1.46</v>
      </c>
      <c r="I6" s="5">
        <v>1.64</v>
      </c>
      <c r="J6" s="5">
        <v>1.07</v>
      </c>
      <c r="K6" s="7">
        <v>0.62</v>
      </c>
      <c r="L6" s="6">
        <f>0.3*ABS(G6-184)/184 + 0.125*ABS(H6-1.52)/1.52 + 0.125*ABS(I6-1.79)/1.79 + 0.2*ABS(J6-1.02)/1.02 + 0.25*ABS(K6-0.61)/0.61</f>
        <v>4.8485266129354748E-2</v>
      </c>
      <c r="M6" s="7" t="s">
        <v>17</v>
      </c>
      <c r="N6" s="14" t="s">
        <v>40</v>
      </c>
    </row>
    <row r="7" spans="1:14" ht="45" x14ac:dyDescent="0.25">
      <c r="A7" s="2">
        <v>2</v>
      </c>
      <c r="B7" s="13">
        <v>2000</v>
      </c>
      <c r="C7" s="13">
        <v>0.08</v>
      </c>
      <c r="D7" s="13">
        <v>120000</v>
      </c>
      <c r="E7" s="13">
        <v>240000</v>
      </c>
      <c r="F7" s="13">
        <v>0.3</v>
      </c>
      <c r="G7" s="8">
        <v>184.72</v>
      </c>
      <c r="H7" s="8">
        <v>1.51</v>
      </c>
      <c r="I7" s="8">
        <v>1.78</v>
      </c>
      <c r="J7" s="8">
        <v>1.1399999999999999</v>
      </c>
      <c r="K7" s="8">
        <v>0.61</v>
      </c>
      <c r="L7" s="24">
        <f t="shared" ref="L7:L27" si="0">0.3*ABS(G7-184)/184 + 0.125*ABS(H7-1.52)/1.52 + 0.125*ABS(I7-1.79)/1.79 + 0.2*ABS(J7-1.02)/1.02 + 0.25*ABS(K7-0.61)/0.61</f>
        <v>2.6224017251583121E-2</v>
      </c>
      <c r="M7" s="9" t="s">
        <v>18</v>
      </c>
      <c r="N7" s="15" t="s">
        <v>41</v>
      </c>
    </row>
    <row r="8" spans="1:14" ht="75" x14ac:dyDescent="0.25">
      <c r="A8" s="2">
        <v>3</v>
      </c>
      <c r="B8" s="13">
        <v>1500</v>
      </c>
      <c r="C8" s="13">
        <v>0.08</v>
      </c>
      <c r="D8" s="13">
        <v>120000</v>
      </c>
      <c r="E8" s="13">
        <v>240000</v>
      </c>
      <c r="F8" s="13">
        <v>0.3</v>
      </c>
      <c r="G8" s="8">
        <v>183.26</v>
      </c>
      <c r="H8" s="8">
        <v>1.52</v>
      </c>
      <c r="I8" s="8">
        <v>1.79</v>
      </c>
      <c r="J8" s="8">
        <v>1.1200000000000001</v>
      </c>
      <c r="K8" s="8">
        <v>0.57999999999999996</v>
      </c>
      <c r="L8" s="24">
        <f t="shared" si="0"/>
        <v>3.3109446843598497E-2</v>
      </c>
      <c r="M8" s="9" t="s">
        <v>19</v>
      </c>
      <c r="N8" s="15" t="s">
        <v>42</v>
      </c>
    </row>
    <row r="9" spans="1:14" ht="45" x14ac:dyDescent="0.25">
      <c r="A9" s="26">
        <v>4</v>
      </c>
      <c r="B9" s="27">
        <v>1200</v>
      </c>
      <c r="C9" s="27">
        <v>0.08</v>
      </c>
      <c r="D9" s="27">
        <v>120000</v>
      </c>
      <c r="E9" s="27">
        <v>240000</v>
      </c>
      <c r="F9" s="27">
        <v>0.3</v>
      </c>
      <c r="G9" s="28">
        <v>183.96</v>
      </c>
      <c r="H9" s="28">
        <v>1.52</v>
      </c>
      <c r="I9" s="28">
        <v>1.78</v>
      </c>
      <c r="J9" s="28">
        <v>1.1100000000000001</v>
      </c>
      <c r="K9" s="28">
        <v>0.56999999999999995</v>
      </c>
      <c r="L9" s="29">
        <f t="shared" si="0"/>
        <v>3.480404286013096E-2</v>
      </c>
      <c r="M9" s="30" t="s">
        <v>20</v>
      </c>
      <c r="N9" s="31" t="s">
        <v>43</v>
      </c>
    </row>
    <row r="10" spans="1:14" ht="45" x14ac:dyDescent="0.25">
      <c r="A10" s="2">
        <v>5</v>
      </c>
      <c r="B10" s="13">
        <v>800</v>
      </c>
      <c r="C10" s="13">
        <v>0.08</v>
      </c>
      <c r="D10" s="13">
        <v>120000</v>
      </c>
      <c r="E10" s="13">
        <v>240000</v>
      </c>
      <c r="F10" s="13">
        <v>0.3</v>
      </c>
      <c r="G10" s="8">
        <v>182.88</v>
      </c>
      <c r="H10" s="8">
        <v>1.53</v>
      </c>
      <c r="I10" s="8">
        <v>1.79</v>
      </c>
      <c r="J10" s="8">
        <v>1.1399999999999999</v>
      </c>
      <c r="K10" s="8">
        <v>0.55000000000000004</v>
      </c>
      <c r="L10" s="24">
        <f t="shared" si="0"/>
        <v>5.0768031076706445E-2</v>
      </c>
      <c r="M10" s="9" t="s">
        <v>21</v>
      </c>
      <c r="N10" s="15" t="s">
        <v>44</v>
      </c>
    </row>
    <row r="11" spans="1:14" ht="30" x14ac:dyDescent="0.25">
      <c r="A11" s="2">
        <v>6</v>
      </c>
      <c r="B11" s="13">
        <v>600</v>
      </c>
      <c r="C11" s="13">
        <v>0.08</v>
      </c>
      <c r="D11" s="13">
        <v>120000</v>
      </c>
      <c r="E11" s="13">
        <v>240000</v>
      </c>
      <c r="F11" s="13">
        <v>0.3</v>
      </c>
      <c r="G11" s="8">
        <v>182.86</v>
      </c>
      <c r="H11" s="8">
        <v>1.53</v>
      </c>
      <c r="I11" s="8">
        <v>1.79</v>
      </c>
      <c r="J11" s="8">
        <v>1.1599999999999999</v>
      </c>
      <c r="K11" s="8">
        <v>0.54</v>
      </c>
      <c r="L11" s="24">
        <f t="shared" si="0"/>
        <v>5.8820569055547278E-2</v>
      </c>
      <c r="M11" s="9" t="s">
        <v>22</v>
      </c>
      <c r="N11" s="15" t="s">
        <v>45</v>
      </c>
    </row>
    <row r="12" spans="1:14" ht="75" x14ac:dyDescent="0.25">
      <c r="A12" s="2">
        <v>7</v>
      </c>
      <c r="B12" s="13">
        <v>1200</v>
      </c>
      <c r="C12" s="13">
        <v>0.08</v>
      </c>
      <c r="D12" s="13">
        <v>80000</v>
      </c>
      <c r="E12" s="13">
        <v>160000</v>
      </c>
      <c r="F12" s="13">
        <v>0.3</v>
      </c>
      <c r="G12" s="8">
        <v>182.84</v>
      </c>
      <c r="H12" s="8">
        <v>1.53</v>
      </c>
      <c r="I12" s="8">
        <v>1.79</v>
      </c>
      <c r="J12" s="8">
        <v>1.1499999999999999</v>
      </c>
      <c r="K12" s="8">
        <v>0.56999999999999995</v>
      </c>
      <c r="L12" s="24">
        <f t="shared" si="0"/>
        <v>4.45973114702609E-2</v>
      </c>
      <c r="M12" s="9" t="s">
        <v>23</v>
      </c>
      <c r="N12" s="15" t="s">
        <v>46</v>
      </c>
    </row>
    <row r="13" spans="1:14" ht="60" x14ac:dyDescent="0.25">
      <c r="A13" s="2">
        <v>8</v>
      </c>
      <c r="B13" s="13">
        <v>800</v>
      </c>
      <c r="C13" s="13">
        <v>0.08</v>
      </c>
      <c r="D13" s="13">
        <v>80000</v>
      </c>
      <c r="E13" s="13">
        <v>160000</v>
      </c>
      <c r="F13" s="13">
        <v>0.3</v>
      </c>
      <c r="G13" s="8">
        <v>182.48</v>
      </c>
      <c r="H13" s="8">
        <v>1.53</v>
      </c>
      <c r="I13" s="8">
        <v>1.8</v>
      </c>
      <c r="J13" s="8">
        <v>1.1499999999999999</v>
      </c>
      <c r="K13" s="8">
        <v>0.55000000000000004</v>
      </c>
      <c r="L13" s="24">
        <f t="shared" si="0"/>
        <v>5.407931332582179E-2</v>
      </c>
      <c r="M13" s="9" t="s">
        <v>24</v>
      </c>
      <c r="N13" s="15" t="s">
        <v>15</v>
      </c>
    </row>
    <row r="14" spans="1:14" ht="60" x14ac:dyDescent="0.25">
      <c r="A14" s="2">
        <v>9</v>
      </c>
      <c r="B14" s="13">
        <v>600</v>
      </c>
      <c r="C14" s="13">
        <v>0.08</v>
      </c>
      <c r="D14" s="13">
        <v>80000</v>
      </c>
      <c r="E14" s="13">
        <v>160000</v>
      </c>
      <c r="F14" s="13">
        <v>0.3</v>
      </c>
      <c r="G14" s="23">
        <v>183.68</v>
      </c>
      <c r="H14" s="23">
        <v>1.52</v>
      </c>
      <c r="I14" s="23">
        <v>1.79</v>
      </c>
      <c r="J14" s="23">
        <v>1.1499999999999999</v>
      </c>
      <c r="K14" s="23">
        <v>0.54</v>
      </c>
      <c r="L14" s="24">
        <f t="shared" si="0"/>
        <v>5.4700459799030043E-2</v>
      </c>
      <c r="M14" s="9" t="s">
        <v>25</v>
      </c>
      <c r="N14" s="15" t="s">
        <v>47</v>
      </c>
    </row>
    <row r="15" spans="1:14" ht="45" x14ac:dyDescent="0.25">
      <c r="A15" s="2">
        <v>10</v>
      </c>
      <c r="B15" s="13">
        <v>1200</v>
      </c>
      <c r="C15" s="13">
        <v>0.08</v>
      </c>
      <c r="D15" s="13">
        <v>60000</v>
      </c>
      <c r="E15" s="13">
        <v>120000</v>
      </c>
      <c r="F15" s="13">
        <v>0.3</v>
      </c>
      <c r="G15" s="10">
        <v>183.24</v>
      </c>
      <c r="H15" s="10">
        <v>1.53</v>
      </c>
      <c r="I15" s="10">
        <v>1.78</v>
      </c>
      <c r="J15" s="10">
        <v>1.1200000000000001</v>
      </c>
      <c r="K15" s="10">
        <v>0.56999999999999995</v>
      </c>
      <c r="L15" s="24">
        <f t="shared" si="0"/>
        <v>3.8761108638387345E-2</v>
      </c>
      <c r="M15" s="9" t="s">
        <v>26</v>
      </c>
      <c r="N15" s="15" t="s">
        <v>48</v>
      </c>
    </row>
    <row r="16" spans="1:14" ht="45" x14ac:dyDescent="0.25">
      <c r="A16" s="2">
        <v>11</v>
      </c>
      <c r="B16" s="13">
        <v>800</v>
      </c>
      <c r="C16" s="13">
        <v>0.08</v>
      </c>
      <c r="D16" s="13">
        <v>60000</v>
      </c>
      <c r="E16" s="13">
        <v>120000</v>
      </c>
      <c r="F16" s="13">
        <v>0.3</v>
      </c>
      <c r="G16" s="8">
        <v>183.68</v>
      </c>
      <c r="H16" s="8">
        <v>1.52</v>
      </c>
      <c r="I16" s="8">
        <v>1.79</v>
      </c>
      <c r="J16" s="8">
        <v>1.1399999999999999</v>
      </c>
      <c r="K16" s="8">
        <v>0.56000000000000005</v>
      </c>
      <c r="L16" s="24">
        <f t="shared" si="0"/>
        <v>4.4542954173829127E-2</v>
      </c>
      <c r="M16" s="9" t="s">
        <v>27</v>
      </c>
      <c r="N16" s="15" t="s">
        <v>51</v>
      </c>
    </row>
    <row r="17" spans="1:14" ht="45" x14ac:dyDescent="0.25">
      <c r="A17" s="2">
        <v>12</v>
      </c>
      <c r="B17" s="13">
        <v>600</v>
      </c>
      <c r="C17" s="13">
        <v>0.08</v>
      </c>
      <c r="D17" s="13">
        <v>60000</v>
      </c>
      <c r="E17" s="13">
        <v>120000</v>
      </c>
      <c r="F17" s="13">
        <v>0.3</v>
      </c>
      <c r="G17" s="23">
        <v>183.1</v>
      </c>
      <c r="H17" s="23">
        <v>1.53</v>
      </c>
      <c r="I17" s="23">
        <v>1.78</v>
      </c>
      <c r="J17" s="23">
        <v>1.1399999999999999</v>
      </c>
      <c r="K17" s="23">
        <v>0.53</v>
      </c>
      <c r="L17" s="24">
        <f t="shared" si="0"/>
        <v>5.9304380758354314E-2</v>
      </c>
      <c r="M17" s="9" t="s">
        <v>28</v>
      </c>
      <c r="N17" s="15" t="s">
        <v>50</v>
      </c>
    </row>
    <row r="18" spans="1:14" ht="45" x14ac:dyDescent="0.25">
      <c r="A18" s="2">
        <v>13</v>
      </c>
      <c r="B18" s="19">
        <v>800</v>
      </c>
      <c r="C18" s="19">
        <v>0.12</v>
      </c>
      <c r="D18" s="19">
        <v>120000</v>
      </c>
      <c r="E18" s="19">
        <v>240000</v>
      </c>
      <c r="F18" s="19">
        <v>0.3</v>
      </c>
      <c r="G18" s="3">
        <v>188.04</v>
      </c>
      <c r="H18" s="3">
        <v>1.48</v>
      </c>
      <c r="I18" s="3">
        <v>1.74</v>
      </c>
      <c r="J18" s="3">
        <v>1.1100000000000001</v>
      </c>
      <c r="K18" s="3">
        <v>0.6</v>
      </c>
      <c r="L18" s="24">
        <f t="shared" si="0"/>
        <v>3.5113469796948626E-2</v>
      </c>
      <c r="M18" s="9" t="s">
        <v>29</v>
      </c>
      <c r="N18" s="16" t="s">
        <v>49</v>
      </c>
    </row>
    <row r="19" spans="1:14" ht="30" x14ac:dyDescent="0.25">
      <c r="A19" s="2">
        <v>14</v>
      </c>
      <c r="B19" s="13">
        <v>800</v>
      </c>
      <c r="C19" s="13">
        <v>0.12</v>
      </c>
      <c r="D19" s="13">
        <v>80000</v>
      </c>
      <c r="E19" s="13">
        <v>160000</v>
      </c>
      <c r="F19" s="13">
        <v>0.3</v>
      </c>
      <c r="G19" s="3">
        <v>183.84</v>
      </c>
      <c r="H19" s="3">
        <v>1.52</v>
      </c>
      <c r="I19" s="3">
        <v>1.78</v>
      </c>
      <c r="J19" s="3">
        <v>1.1299999999999999</v>
      </c>
      <c r="K19" s="3">
        <v>0.6</v>
      </c>
      <c r="L19" s="24">
        <f t="shared" si="0"/>
        <v>2.6626181694281836E-2</v>
      </c>
      <c r="M19" s="9" t="s">
        <v>30</v>
      </c>
      <c r="N19" s="16" t="s">
        <v>52</v>
      </c>
    </row>
    <row r="20" spans="1:14" ht="75" x14ac:dyDescent="0.25">
      <c r="A20" s="2">
        <v>15</v>
      </c>
      <c r="B20" s="13">
        <v>800</v>
      </c>
      <c r="C20" s="13">
        <v>0.16</v>
      </c>
      <c r="D20" s="13">
        <v>120000</v>
      </c>
      <c r="E20" s="13">
        <v>240000</v>
      </c>
      <c r="F20" s="13">
        <v>0.3</v>
      </c>
      <c r="G20" s="10">
        <v>189.22</v>
      </c>
      <c r="H20" s="10">
        <v>1.49</v>
      </c>
      <c r="I20" s="10">
        <v>1.72</v>
      </c>
      <c r="J20" s="10">
        <v>1.06</v>
      </c>
      <c r="K20" s="10">
        <v>0.63</v>
      </c>
      <c r="L20" s="24">
        <f t="shared" si="0"/>
        <v>3.1906101551177256E-2</v>
      </c>
      <c r="M20" s="9" t="s">
        <v>31</v>
      </c>
      <c r="N20" s="16" t="s">
        <v>53</v>
      </c>
    </row>
    <row r="21" spans="1:14" ht="75" x14ac:dyDescent="0.25">
      <c r="A21" s="18">
        <v>16</v>
      </c>
      <c r="B21" s="19">
        <v>800</v>
      </c>
      <c r="C21" s="19">
        <v>0.16</v>
      </c>
      <c r="D21" s="19">
        <v>80000</v>
      </c>
      <c r="E21" s="19">
        <v>160000</v>
      </c>
      <c r="F21" s="19">
        <v>0.3</v>
      </c>
      <c r="G21" s="20">
        <v>180.74</v>
      </c>
      <c r="H21" s="20">
        <v>1.54</v>
      </c>
      <c r="I21" s="20">
        <v>1.81</v>
      </c>
      <c r="J21" s="20">
        <v>1.1000000000000001</v>
      </c>
      <c r="K21" s="20">
        <v>0.63</v>
      </c>
      <c r="L21" s="24">
        <f t="shared" si="0"/>
        <v>3.2239598099381692E-2</v>
      </c>
      <c r="M21" s="21" t="s">
        <v>32</v>
      </c>
      <c r="N21" s="22" t="s">
        <v>54</v>
      </c>
    </row>
    <row r="22" spans="1:14" ht="75" x14ac:dyDescent="0.25">
      <c r="A22" s="2">
        <v>17</v>
      </c>
      <c r="B22" s="13">
        <v>800</v>
      </c>
      <c r="C22" s="13">
        <v>0.2</v>
      </c>
      <c r="D22" s="13">
        <v>120000</v>
      </c>
      <c r="E22" s="13">
        <v>240000</v>
      </c>
      <c r="F22" s="13">
        <v>0.3</v>
      </c>
      <c r="G22" s="3">
        <v>194.16</v>
      </c>
      <c r="H22" s="3">
        <v>1.48</v>
      </c>
      <c r="I22" s="3">
        <v>1.65</v>
      </c>
      <c r="J22" s="3">
        <v>1.03</v>
      </c>
      <c r="K22" s="3">
        <v>0.66</v>
      </c>
      <c r="L22" s="24">
        <f t="shared" si="0"/>
        <v>5.2083814980778076E-2</v>
      </c>
      <c r="M22" s="9" t="s">
        <v>33</v>
      </c>
      <c r="N22" s="16" t="s">
        <v>55</v>
      </c>
    </row>
    <row r="23" spans="1:14" ht="45" x14ac:dyDescent="0.25">
      <c r="A23" s="2">
        <v>18</v>
      </c>
      <c r="B23" s="13">
        <v>800</v>
      </c>
      <c r="C23" s="13">
        <v>0.2</v>
      </c>
      <c r="D23" s="13">
        <v>80000</v>
      </c>
      <c r="E23" s="13">
        <v>160000</v>
      </c>
      <c r="F23" s="13">
        <v>0.3</v>
      </c>
      <c r="G23" s="3">
        <v>188.82</v>
      </c>
      <c r="H23" s="3">
        <v>1.53</v>
      </c>
      <c r="I23" s="3">
        <v>1.69</v>
      </c>
      <c r="J23" s="3">
        <v>1.04</v>
      </c>
      <c r="K23" s="3">
        <v>0.68</v>
      </c>
      <c r="L23" s="24">
        <f t="shared" si="0"/>
        <v>4.8274397514305172E-2</v>
      </c>
      <c r="M23" s="9" t="s">
        <v>34</v>
      </c>
      <c r="N23" s="16" t="s">
        <v>56</v>
      </c>
    </row>
    <row r="24" spans="1:14" ht="75" x14ac:dyDescent="0.25">
      <c r="A24" s="2">
        <v>19</v>
      </c>
      <c r="B24" s="13">
        <v>1200</v>
      </c>
      <c r="C24" s="13">
        <v>0.06</v>
      </c>
      <c r="D24" s="13">
        <v>40000</v>
      </c>
      <c r="E24" s="13">
        <v>80000</v>
      </c>
      <c r="F24" s="13">
        <v>0.3</v>
      </c>
      <c r="G24" s="3">
        <v>182.3</v>
      </c>
      <c r="H24" s="3">
        <v>1.53</v>
      </c>
      <c r="I24" s="3">
        <v>1.8</v>
      </c>
      <c r="J24" s="3">
        <v>1.1599999999999999</v>
      </c>
      <c r="K24" s="3">
        <v>0.55000000000000004</v>
      </c>
      <c r="L24" s="24">
        <f t="shared" si="0"/>
        <v>5.6333575900416821E-2</v>
      </c>
      <c r="M24" s="9" t="s">
        <v>35</v>
      </c>
      <c r="N24" s="16" t="s">
        <v>57</v>
      </c>
    </row>
    <row r="25" spans="1:14" ht="90" x14ac:dyDescent="0.25">
      <c r="A25" s="2">
        <v>20</v>
      </c>
      <c r="B25" s="13">
        <v>800</v>
      </c>
      <c r="C25" s="13">
        <v>0.08</v>
      </c>
      <c r="D25" s="13">
        <v>80000</v>
      </c>
      <c r="E25" s="13">
        <v>160000</v>
      </c>
      <c r="F25" s="13">
        <v>0.5</v>
      </c>
      <c r="G25" s="3">
        <v>188.14</v>
      </c>
      <c r="H25" s="3">
        <v>1.51</v>
      </c>
      <c r="I25" s="3">
        <v>1.71</v>
      </c>
      <c r="J25" s="3">
        <v>1.1100000000000001</v>
      </c>
      <c r="K25" s="3">
        <v>0.56999999999999995</v>
      </c>
      <c r="L25" s="24">
        <f t="shared" si="0"/>
        <v>4.7199462046303819E-2</v>
      </c>
      <c r="M25" s="9" t="s">
        <v>36</v>
      </c>
      <c r="N25" s="16" t="s">
        <v>58</v>
      </c>
    </row>
    <row r="26" spans="1:14" ht="30" x14ac:dyDescent="0.25">
      <c r="A26" s="2">
        <v>21</v>
      </c>
      <c r="B26" s="13">
        <v>800</v>
      </c>
      <c r="C26" s="13">
        <v>0.12</v>
      </c>
      <c r="D26" s="13">
        <v>80000</v>
      </c>
      <c r="E26" s="13">
        <v>160000</v>
      </c>
      <c r="F26" s="13">
        <v>0.5</v>
      </c>
      <c r="G26" s="3">
        <v>197.04</v>
      </c>
      <c r="H26" s="3">
        <v>1.48</v>
      </c>
      <c r="I26" s="3">
        <v>1.6</v>
      </c>
      <c r="J26" s="3">
        <v>1.04</v>
      </c>
      <c r="K26" s="3">
        <v>0.61</v>
      </c>
      <c r="L26" s="24">
        <f t="shared" si="0"/>
        <v>4.174006830145989E-2</v>
      </c>
      <c r="M26" s="9" t="s">
        <v>37</v>
      </c>
      <c r="N26" s="16" t="s">
        <v>59</v>
      </c>
    </row>
    <row r="27" spans="1:14" ht="77.45" customHeight="1" x14ac:dyDescent="0.25">
      <c r="A27" s="2">
        <v>22</v>
      </c>
      <c r="B27" s="13">
        <v>1000</v>
      </c>
      <c r="C27" s="13">
        <v>0.08</v>
      </c>
      <c r="D27" s="13">
        <v>40000</v>
      </c>
      <c r="E27" s="13">
        <v>80000</v>
      </c>
      <c r="F27" s="13">
        <v>0.3</v>
      </c>
      <c r="G27" s="3">
        <v>183.04</v>
      </c>
      <c r="H27" s="3">
        <v>1.52</v>
      </c>
      <c r="I27" s="3">
        <v>1.79</v>
      </c>
      <c r="J27" s="3">
        <v>1.1000000000000001</v>
      </c>
      <c r="K27" s="3">
        <v>0.56000000000000005</v>
      </c>
      <c r="L27" s="24">
        <f t="shared" si="0"/>
        <v>3.7743295179796799E-2</v>
      </c>
      <c r="M27" s="9" t="s">
        <v>38</v>
      </c>
      <c r="N27" s="16" t="s">
        <v>60</v>
      </c>
    </row>
    <row r="29" spans="1:14" x14ac:dyDescent="0.25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</row>
    <row r="30" spans="1:14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9"/>
      <c r="M30" s="32"/>
      <c r="N30" s="32"/>
    </row>
    <row r="31" spans="1:14" x14ac:dyDescent="0.25">
      <c r="A31" s="33"/>
      <c r="B31" s="34"/>
      <c r="C31" s="34"/>
      <c r="D31" s="34"/>
      <c r="E31" s="34"/>
      <c r="F31" s="34"/>
      <c r="G31" s="35"/>
      <c r="H31" s="35"/>
      <c r="I31" s="35"/>
      <c r="J31" s="35"/>
      <c r="K31" s="35"/>
      <c r="L31" s="40"/>
      <c r="M31" s="36"/>
      <c r="N31" s="37"/>
    </row>
    <row r="32" spans="1:14" x14ac:dyDescent="0.25">
      <c r="A32" s="33"/>
      <c r="B32" s="34"/>
      <c r="C32" s="34"/>
      <c r="D32" s="34"/>
      <c r="E32" s="34"/>
      <c r="F32" s="34"/>
      <c r="G32" s="35"/>
      <c r="H32" s="35"/>
      <c r="I32" s="35"/>
      <c r="J32" s="35"/>
      <c r="K32" s="35"/>
      <c r="L32" s="40"/>
      <c r="M32" s="36"/>
      <c r="N32" s="37"/>
    </row>
    <row r="33" spans="1:14" x14ac:dyDescent="0.25">
      <c r="A33" s="33"/>
      <c r="B33" s="34"/>
      <c r="C33" s="34"/>
      <c r="D33" s="34"/>
      <c r="E33" s="34"/>
      <c r="F33" s="34"/>
      <c r="G33" s="35"/>
      <c r="H33" s="35"/>
      <c r="I33" s="35"/>
      <c r="J33" s="35"/>
      <c r="K33" s="35"/>
      <c r="L33" s="40"/>
      <c r="M33" s="36"/>
      <c r="N33" s="37"/>
    </row>
    <row r="34" spans="1:14" x14ac:dyDescent="0.25">
      <c r="A34" s="33"/>
      <c r="B34" s="34"/>
      <c r="C34" s="34"/>
      <c r="D34" s="34"/>
      <c r="E34" s="34"/>
      <c r="F34" s="34"/>
      <c r="G34" s="35"/>
      <c r="H34" s="35"/>
      <c r="I34" s="35"/>
      <c r="J34" s="35"/>
      <c r="K34" s="35"/>
      <c r="L34" s="40"/>
      <c r="M34" s="36"/>
      <c r="N34" s="37"/>
    </row>
    <row r="35" spans="1:14" x14ac:dyDescent="0.25">
      <c r="A35" s="33"/>
      <c r="B35" s="34"/>
      <c r="C35" s="34"/>
      <c r="D35" s="34"/>
      <c r="E35" s="34"/>
      <c r="F35" s="34"/>
      <c r="G35" s="35"/>
      <c r="H35" s="35"/>
      <c r="I35" s="35"/>
      <c r="J35" s="35"/>
      <c r="K35" s="35"/>
      <c r="L35" s="40"/>
      <c r="M35" s="36"/>
      <c r="N35" s="37"/>
    </row>
    <row r="36" spans="1:14" x14ac:dyDescent="0.25">
      <c r="L36" s="41"/>
    </row>
    <row r="37" spans="1:14" x14ac:dyDescent="0.25">
      <c r="L37" s="41"/>
    </row>
    <row r="38" spans="1:14" x14ac:dyDescent="0.25">
      <c r="L38" s="41"/>
    </row>
  </sheetData>
  <mergeCells count="3">
    <mergeCell ref="A3:N3"/>
    <mergeCell ref="A1:N1"/>
    <mergeCell ref="A2:N2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2026-04-21T17:27:48Z</dcterms:modified>
</cp:coreProperties>
</file>
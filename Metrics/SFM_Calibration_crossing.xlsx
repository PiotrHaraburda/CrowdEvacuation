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CrowdEvacuation\Metrics\"/>
    </mc:Choice>
  </mc:AlternateContent>
  <xr:revisionPtr revIDLastSave="0" documentId="13_ncr:1_{4CDAAC50-5F98-4D14-BF04-EF80F394C5E7}" xr6:coauthVersionLast="47" xr6:coauthVersionMax="47" xr10:uidLastSave="{00000000-0000-0000-0000-000000000000}"/>
  <bookViews>
    <workbookView xWindow="-108" yWindow="-108" windowWidth="23256" windowHeight="13896" xr2:uid="{E00F018A-51B7-4FBE-B871-94FC33AFF98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6" i="1"/>
  <c r="L32" i="1"/>
  <c r="L33" i="1"/>
  <c r="L34" i="1"/>
</calcChain>
</file>

<file path=xl/sharedStrings.xml><?xml version="1.0" encoding="utf-8"?>
<sst xmlns="http://schemas.openxmlformats.org/spreadsheetml/2006/main" count="47" uniqueCount="47">
  <si>
    <t>#</t>
  </si>
  <si>
    <t>A</t>
  </si>
  <si>
    <t>B</t>
  </si>
  <si>
    <t>τ</t>
  </si>
  <si>
    <t>RSET [s]</t>
  </si>
  <si>
    <t>Mean speed [m/s]</t>
  </si>
  <si>
    <t>Error score</t>
  </si>
  <si>
    <t>Uwagi</t>
  </si>
  <si>
    <t>Run ID</t>
  </si>
  <si>
    <t>Mean headway [m]</t>
  </si>
  <si>
    <t>k</t>
  </si>
  <si>
    <t>κ</t>
  </si>
  <si>
    <t>Fine tuning:</t>
  </si>
  <si>
    <t>Stałe:  m=80kg, r=0.2m, v₀=N(1.34,0.26) m/s</t>
  </si>
  <si>
    <t>KALIBRACJA SFM - Grid Search na Crossing_90 D_007</t>
  </si>
  <si>
    <t>Cel empiryczny (Ghost D_007_SFM): RSET=134.12s, throughput (exit west)=2.07 ped/s, throughput (exit south)=2.44 ped/s, mean_speed=0.53 m/s, mean_headway=0,50 m</t>
  </si>
  <si>
    <t>D_007_SFM</t>
  </si>
  <si>
    <t>D_007_SFM_cal_01</t>
  </si>
  <si>
    <t>D_007_SFM_cal_02</t>
  </si>
  <si>
    <t>D_007_SFM_cal_03</t>
  </si>
  <si>
    <t>D_007_SFM_cal_04</t>
  </si>
  <si>
    <t>D_007_SFM_cal_05</t>
  </si>
  <si>
    <t>D_007_SFM_cal_06</t>
  </si>
  <si>
    <t>D_007_SFM_cal_07</t>
  </si>
  <si>
    <t>D_007_SFM_cal_08</t>
  </si>
  <si>
    <t>D_007_SFM_cal_09</t>
  </si>
  <si>
    <t>D_007_SFM_cal_10</t>
  </si>
  <si>
    <t>D_007_SFM_cal_11</t>
  </si>
  <si>
    <t>D_007_SFM_cal_12</t>
  </si>
  <si>
    <t>D_007_SFM_cal_13</t>
  </si>
  <si>
    <t>D_007_SFM_cal_14</t>
  </si>
  <si>
    <t>D_007_SFM_cal_15</t>
  </si>
  <si>
    <t>D_007_SFM_cal_16</t>
  </si>
  <si>
    <t>D_007_SFM_cal_17</t>
  </si>
  <si>
    <t>D_007_SFM_cal_18</t>
  </si>
  <si>
    <t>D_007_SFM_cal_19</t>
  </si>
  <si>
    <t>D_007_SFM_cal_20</t>
  </si>
  <si>
    <t>D_007_SFM_cal_21</t>
  </si>
  <si>
    <t>D_007_SFM_cal_22</t>
  </si>
  <si>
    <t>D_007_SFM_cal_23</t>
  </si>
  <si>
    <t>Throughput (exit west) [p/s]</t>
  </si>
  <si>
    <t>Throughput (exit south) [p/s]</t>
  </si>
  <si>
    <t>kanoniczny (inne r), zator nie pojawia się na środku skrzyżowania jak w ghost tylko w na południowo-wschodnim rogu skrzyżowania; agenci spychają się na niepożądane wyjścia po czym muszą wrócic z powrotem na swój korytarz</t>
  </si>
  <si>
    <t>dochodzi do zderzen między agentami, nie wymijają się tak chętnie, symulacja nie wygląda naturlanie, ten sam zator co powyżej</t>
  </si>
  <si>
    <t>nadal dochodzi do zderzeń i tego samego zatoru, agenci mniej agresywnie zmieniają swoją predkosc</t>
  </si>
  <si>
    <t>trzymanie zauważalnie większych odstępów dzięki czemu nie dochodzi do kolizji, dochodzi jednak nadal do tego samego zatoru lecz nie przy samym rogu - jest to bardziej rozłożone; zostało kilku agentów na koniec którzy wolno wracali do swojego korytarza</t>
  </si>
  <si>
    <t>dochodzi do zderzeń ale nie aż tak mocno jak w cal_01; pojawia się ten sam zator, ageci poruszają się szybciej, na koniec nie zostało wolno poruszających się agentów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</si>
</sst>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rial"/>
      <family val="2"/>
      <charset val="238"/>
    </font>
    <font>
      <sz val="11"/>
      <color theme="7" tint="-0.249977111117893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ny" xfId="0" builtinId="0"/>
    <cellStyle name="Normalny 2" xfId="1" xr:uid="{A7B74755-5DB1-4324-91BA-A678CB46C0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E41E4-C8F6-4244-B955-9D9C71C2DB24}">
  <dimension ref="A1:N34"/>
  <sheetViews>
    <sheetView tabSelected="1" topLeftCell="A6" workbookViewId="0">
      <selection activeCell="K13" sqref="K13"/>
    </sheetView>
  </sheetViews>
  <sheetFormatPr defaultRowHeight="14.4" x14ac:dyDescent="0.3"/>
  <cols>
    <col min="1" max="1" width="3.33203125" bestFit="1" customWidth="1"/>
    <col min="2" max="3" width="5" bestFit="1" customWidth="1"/>
    <col min="4" max="4" width="7" bestFit="1" customWidth="1"/>
    <col min="5" max="5" width="7" customWidth="1"/>
    <col min="6" max="6" width="7" bestFit="1" customWidth="1"/>
    <col min="7" max="7" width="10" bestFit="1" customWidth="1"/>
    <col min="8" max="8" width="15.21875" customWidth="1"/>
    <col min="9" max="9" width="14.6640625" customWidth="1"/>
    <col min="10" max="10" width="19.109375" bestFit="1" customWidth="1"/>
    <col min="11" max="11" width="19.88671875" bestFit="1" customWidth="1"/>
    <col min="12" max="12" width="12.5546875" bestFit="1" customWidth="1"/>
    <col min="13" max="13" width="18" bestFit="1" customWidth="1"/>
    <col min="14" max="14" width="33.6640625" customWidth="1"/>
  </cols>
  <sheetData>
    <row r="1" spans="1:14" x14ac:dyDescent="0.3">
      <c r="A1" s="24" t="s">
        <v>14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3">
      <c r="A2" s="24" t="s">
        <v>13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x14ac:dyDescent="0.3">
      <c r="A3" s="24" t="s">
        <v>15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5" spans="1:14" ht="41.4" x14ac:dyDescent="0.3">
      <c r="A5" s="1" t="s">
        <v>0</v>
      </c>
      <c r="B5" s="1" t="s">
        <v>1</v>
      </c>
      <c r="C5" s="1" t="s">
        <v>2</v>
      </c>
      <c r="D5" s="12" t="s">
        <v>10</v>
      </c>
      <c r="E5" s="12" t="s">
        <v>11</v>
      </c>
      <c r="F5" s="1" t="s">
        <v>3</v>
      </c>
      <c r="G5" s="1" t="s">
        <v>4</v>
      </c>
      <c r="H5" s="25" t="s">
        <v>40</v>
      </c>
      <c r="I5" s="25" t="s">
        <v>41</v>
      </c>
      <c r="J5" s="1" t="s">
        <v>5</v>
      </c>
      <c r="K5" s="4" t="s">
        <v>9</v>
      </c>
      <c r="L5" s="1" t="s">
        <v>6</v>
      </c>
      <c r="M5" s="1" t="s">
        <v>8</v>
      </c>
      <c r="N5" s="1" t="s">
        <v>7</v>
      </c>
    </row>
    <row r="6" spans="1:14" ht="86.4" x14ac:dyDescent="0.3">
      <c r="A6" s="2">
        <v>1</v>
      </c>
      <c r="B6" s="13">
        <v>2000</v>
      </c>
      <c r="C6" s="13">
        <v>0.08</v>
      </c>
      <c r="D6" s="13">
        <v>120000</v>
      </c>
      <c r="E6" s="13">
        <v>240000</v>
      </c>
      <c r="F6" s="13">
        <v>0.5</v>
      </c>
      <c r="G6" s="5">
        <v>157.82</v>
      </c>
      <c r="H6" s="5">
        <v>2.14</v>
      </c>
      <c r="I6" s="5">
        <v>1.7</v>
      </c>
      <c r="J6" s="5">
        <v>0.92</v>
      </c>
      <c r="K6" s="7">
        <v>0.69</v>
      </c>
      <c r="L6" s="6">
        <f>0.3*ABS(G6-134.12)/134.12 + 0.125*ABS(H6-2.07)/2.07 + 0.125*ABS(I6-2.44)/2.44 + 0.2*ABS(J6-0.53)/0.53 + 0.25*ABS(K6-0.5)/0.5</f>
        <v>0.33731892838207678</v>
      </c>
      <c r="M6" s="7" t="s">
        <v>16</v>
      </c>
      <c r="N6" s="15" t="s">
        <v>42</v>
      </c>
    </row>
    <row r="7" spans="1:14" ht="57.6" x14ac:dyDescent="0.3">
      <c r="A7" s="2">
        <v>2</v>
      </c>
      <c r="B7" s="14">
        <v>500</v>
      </c>
      <c r="C7" s="14">
        <v>0.08</v>
      </c>
      <c r="D7" s="14">
        <v>120000</v>
      </c>
      <c r="E7" s="14">
        <v>240000</v>
      </c>
      <c r="F7" s="14">
        <v>0.3</v>
      </c>
      <c r="G7" s="8">
        <v>148.04</v>
      </c>
      <c r="H7" s="8">
        <v>2</v>
      </c>
      <c r="I7" s="8">
        <v>2.09</v>
      </c>
      <c r="J7" s="8">
        <v>0.99</v>
      </c>
      <c r="K7" s="8">
        <v>0.63</v>
      </c>
      <c r="L7" s="9">
        <f t="shared" ref="L7:L26" si="0">0.3*ABS(G7-134.12)/134.12 + 0.125*ABS(H7-2.07)/2.07 + 0.125*ABS(I7-2.44)/2.44 + 0.2*ABS(J7-0.53)/0.53 + 0.25*ABS(K7-0.5)/0.5</f>
        <v>0.29187858252378507</v>
      </c>
      <c r="M7" s="10" t="s">
        <v>17</v>
      </c>
      <c r="N7" s="16" t="s">
        <v>43</v>
      </c>
    </row>
    <row r="8" spans="1:14" ht="43.2" x14ac:dyDescent="0.3">
      <c r="A8" s="2">
        <v>3</v>
      </c>
      <c r="B8" s="14">
        <v>500</v>
      </c>
      <c r="C8" s="14">
        <v>0.08</v>
      </c>
      <c r="D8" s="14">
        <v>120000</v>
      </c>
      <c r="E8" s="14">
        <v>240000</v>
      </c>
      <c r="F8" s="14">
        <v>0.5</v>
      </c>
      <c r="G8" s="8">
        <v>148.82</v>
      </c>
      <c r="H8" s="8">
        <v>2.14</v>
      </c>
      <c r="I8" s="8">
        <v>1.93</v>
      </c>
      <c r="J8" s="8">
        <v>0.97</v>
      </c>
      <c r="K8" s="8">
        <v>0.64</v>
      </c>
      <c r="L8" s="9">
        <f t="shared" si="0"/>
        <v>0.29927284025716372</v>
      </c>
      <c r="M8" s="10" t="s">
        <v>18</v>
      </c>
      <c r="N8" s="16" t="s">
        <v>44</v>
      </c>
    </row>
    <row r="9" spans="1:14" ht="100.8" x14ac:dyDescent="0.3">
      <c r="A9" s="2">
        <v>4</v>
      </c>
      <c r="B9" s="14">
        <v>500</v>
      </c>
      <c r="C9" s="14">
        <v>0.2</v>
      </c>
      <c r="D9" s="14">
        <v>120000</v>
      </c>
      <c r="E9" s="14">
        <v>240000</v>
      </c>
      <c r="F9" s="14">
        <v>0.5</v>
      </c>
      <c r="G9" s="11">
        <v>158.30000000000001</v>
      </c>
      <c r="H9" s="11">
        <v>2.02</v>
      </c>
      <c r="I9" s="11">
        <v>1.81</v>
      </c>
      <c r="J9" s="11">
        <v>0.88</v>
      </c>
      <c r="K9" s="11">
        <v>0.72</v>
      </c>
      <c r="L9" s="9">
        <f t="shared" si="0"/>
        <v>0.33145527876348851</v>
      </c>
      <c r="M9" s="10" t="s">
        <v>19</v>
      </c>
      <c r="N9" s="16" t="s">
        <v>45</v>
      </c>
    </row>
    <row r="10" spans="1:14" ht="72" x14ac:dyDescent="0.3">
      <c r="A10" s="2">
        <v>5</v>
      </c>
      <c r="B10" s="14">
        <v>800</v>
      </c>
      <c r="C10" s="14">
        <v>0.08</v>
      </c>
      <c r="D10" s="14">
        <v>120000</v>
      </c>
      <c r="E10" s="14">
        <v>240000</v>
      </c>
      <c r="F10" s="14">
        <v>0.3</v>
      </c>
      <c r="G10" s="8">
        <v>150.66</v>
      </c>
      <c r="H10" s="8">
        <v>1.92</v>
      </c>
      <c r="I10" s="8">
        <v>2.1</v>
      </c>
      <c r="J10" s="8">
        <v>1.01</v>
      </c>
      <c r="K10" s="8">
        <v>0.65</v>
      </c>
      <c r="L10" s="9">
        <f t="shared" si="0"/>
        <v>0.31960479862887686</v>
      </c>
      <c r="M10" s="10" t="s">
        <v>20</v>
      </c>
      <c r="N10" s="16" t="s">
        <v>46</v>
      </c>
    </row>
    <row r="11" spans="1:14" x14ac:dyDescent="0.3">
      <c r="A11" s="2">
        <v>6</v>
      </c>
      <c r="B11" s="14">
        <v>800</v>
      </c>
      <c r="C11" s="14">
        <v>0.08</v>
      </c>
      <c r="D11" s="14">
        <v>120000</v>
      </c>
      <c r="E11" s="14">
        <v>240000</v>
      </c>
      <c r="F11" s="14">
        <v>0.5</v>
      </c>
      <c r="G11" s="8"/>
      <c r="H11" s="8"/>
      <c r="I11" s="8"/>
      <c r="J11" s="8"/>
      <c r="K11" s="8"/>
      <c r="L11" s="9">
        <f t="shared" si="0"/>
        <v>1</v>
      </c>
      <c r="M11" s="10" t="s">
        <v>21</v>
      </c>
      <c r="N11" s="16"/>
    </row>
    <row r="12" spans="1:14" x14ac:dyDescent="0.3">
      <c r="A12" s="2">
        <v>7</v>
      </c>
      <c r="B12" s="14">
        <v>800</v>
      </c>
      <c r="C12" s="14">
        <v>0.12</v>
      </c>
      <c r="D12" s="14">
        <v>120000</v>
      </c>
      <c r="E12" s="14">
        <v>240000</v>
      </c>
      <c r="F12" s="14">
        <v>0.3</v>
      </c>
      <c r="G12" s="8"/>
      <c r="H12" s="8"/>
      <c r="I12" s="8"/>
      <c r="J12" s="8"/>
      <c r="K12" s="8"/>
      <c r="L12" s="9">
        <f t="shared" si="0"/>
        <v>1</v>
      </c>
      <c r="M12" s="10" t="s">
        <v>22</v>
      </c>
      <c r="N12" s="16"/>
    </row>
    <row r="13" spans="1:14" x14ac:dyDescent="0.3">
      <c r="A13" s="2">
        <v>8</v>
      </c>
      <c r="B13" s="14">
        <v>1200</v>
      </c>
      <c r="C13" s="14">
        <v>0.08</v>
      </c>
      <c r="D13" s="14">
        <v>120000</v>
      </c>
      <c r="E13" s="14">
        <v>240000</v>
      </c>
      <c r="F13" s="14">
        <v>0.3</v>
      </c>
      <c r="G13" s="8"/>
      <c r="H13" s="8"/>
      <c r="I13" s="8"/>
      <c r="J13" s="8"/>
      <c r="K13" s="8"/>
      <c r="L13" s="9">
        <f t="shared" si="0"/>
        <v>1</v>
      </c>
      <c r="M13" s="10" t="s">
        <v>23</v>
      </c>
      <c r="N13" s="16"/>
    </row>
    <row r="14" spans="1:14" x14ac:dyDescent="0.3">
      <c r="A14" s="2">
        <v>9</v>
      </c>
      <c r="B14" s="14">
        <v>1200</v>
      </c>
      <c r="C14" s="14">
        <v>0.08</v>
      </c>
      <c r="D14" s="14">
        <v>120000</v>
      </c>
      <c r="E14" s="14">
        <v>240000</v>
      </c>
      <c r="F14" s="14">
        <v>0.5</v>
      </c>
      <c r="G14" s="8"/>
      <c r="H14" s="8"/>
      <c r="I14" s="8"/>
      <c r="J14" s="8"/>
      <c r="K14" s="8"/>
      <c r="L14" s="9">
        <f t="shared" si="0"/>
        <v>1</v>
      </c>
      <c r="M14" s="10" t="s">
        <v>24</v>
      </c>
      <c r="N14" s="16"/>
    </row>
    <row r="15" spans="1:14" x14ac:dyDescent="0.3">
      <c r="A15" s="2">
        <v>10</v>
      </c>
      <c r="B15" s="14">
        <v>1200</v>
      </c>
      <c r="C15" s="14">
        <v>0.12</v>
      </c>
      <c r="D15" s="14">
        <v>120000</v>
      </c>
      <c r="E15" s="14">
        <v>240000</v>
      </c>
      <c r="F15" s="14">
        <v>0.5</v>
      </c>
      <c r="G15" s="11"/>
      <c r="H15" s="11"/>
      <c r="I15" s="11"/>
      <c r="J15" s="11"/>
      <c r="K15" s="11"/>
      <c r="L15" s="9">
        <f t="shared" si="0"/>
        <v>1</v>
      </c>
      <c r="M15" s="10" t="s">
        <v>25</v>
      </c>
      <c r="N15" s="16"/>
    </row>
    <row r="16" spans="1:14" x14ac:dyDescent="0.3">
      <c r="A16" s="2">
        <v>11</v>
      </c>
      <c r="B16" s="14">
        <v>2000</v>
      </c>
      <c r="C16" s="14">
        <v>0.08</v>
      </c>
      <c r="D16" s="14">
        <v>120000</v>
      </c>
      <c r="E16" s="14">
        <v>240000</v>
      </c>
      <c r="F16" s="14">
        <v>0.3</v>
      </c>
      <c r="G16" s="8"/>
      <c r="H16" s="8"/>
      <c r="I16" s="8"/>
      <c r="J16" s="8"/>
      <c r="K16" s="8"/>
      <c r="L16" s="9">
        <f t="shared" si="0"/>
        <v>1</v>
      </c>
      <c r="M16" s="10" t="s">
        <v>26</v>
      </c>
      <c r="N16" s="16"/>
    </row>
    <row r="17" spans="1:14" x14ac:dyDescent="0.3">
      <c r="A17" s="2">
        <v>12</v>
      </c>
      <c r="B17" s="14">
        <v>2000</v>
      </c>
      <c r="C17" s="14">
        <v>0.12</v>
      </c>
      <c r="D17" s="14">
        <v>120000</v>
      </c>
      <c r="E17" s="14">
        <v>240000</v>
      </c>
      <c r="F17" s="14">
        <v>0.5</v>
      </c>
      <c r="G17" s="11"/>
      <c r="H17" s="11"/>
      <c r="I17" s="11"/>
      <c r="J17" s="11"/>
      <c r="K17" s="11"/>
      <c r="L17" s="9">
        <f t="shared" si="0"/>
        <v>1</v>
      </c>
      <c r="M17" s="10" t="s">
        <v>27</v>
      </c>
      <c r="N17" s="16"/>
    </row>
    <row r="18" spans="1:14" x14ac:dyDescent="0.3">
      <c r="A18" s="2">
        <v>13</v>
      </c>
      <c r="B18" s="14">
        <v>1200</v>
      </c>
      <c r="C18" s="14">
        <v>0.12</v>
      </c>
      <c r="D18" s="14">
        <v>120000</v>
      </c>
      <c r="E18" s="14">
        <v>240000</v>
      </c>
      <c r="F18" s="14">
        <v>0.3</v>
      </c>
      <c r="G18" s="3"/>
      <c r="H18" s="3"/>
      <c r="I18" s="3"/>
      <c r="J18" s="3"/>
      <c r="K18" s="3"/>
      <c r="L18" s="9">
        <f t="shared" si="0"/>
        <v>1</v>
      </c>
      <c r="M18" s="10" t="s">
        <v>28</v>
      </c>
      <c r="N18" s="17"/>
    </row>
    <row r="19" spans="1:14" x14ac:dyDescent="0.3">
      <c r="A19" s="2">
        <v>14</v>
      </c>
      <c r="B19" s="14">
        <v>1500</v>
      </c>
      <c r="C19" s="14">
        <v>0.08</v>
      </c>
      <c r="D19" s="14">
        <v>120000</v>
      </c>
      <c r="E19" s="14">
        <v>240000</v>
      </c>
      <c r="F19" s="14">
        <v>0.3</v>
      </c>
      <c r="G19" s="3"/>
      <c r="H19" s="3"/>
      <c r="I19" s="3"/>
      <c r="J19" s="3"/>
      <c r="K19" s="3"/>
      <c r="L19" s="9">
        <f t="shared" si="0"/>
        <v>1</v>
      </c>
      <c r="M19" s="10" t="s">
        <v>29</v>
      </c>
      <c r="N19" s="17"/>
    </row>
    <row r="20" spans="1:14" x14ac:dyDescent="0.3">
      <c r="A20" s="2">
        <v>15</v>
      </c>
      <c r="B20" s="14">
        <v>1500</v>
      </c>
      <c r="C20" s="14">
        <v>0.12</v>
      </c>
      <c r="D20" s="14">
        <v>120000</v>
      </c>
      <c r="E20" s="14">
        <v>240000</v>
      </c>
      <c r="F20" s="14">
        <v>0.3</v>
      </c>
      <c r="G20" s="11"/>
      <c r="H20" s="11"/>
      <c r="I20" s="11"/>
      <c r="J20" s="11"/>
      <c r="K20" s="11"/>
      <c r="L20" s="9">
        <f t="shared" si="0"/>
        <v>1</v>
      </c>
      <c r="M20" s="10" t="s">
        <v>30</v>
      </c>
      <c r="N20" s="17"/>
    </row>
    <row r="21" spans="1:14" x14ac:dyDescent="0.3">
      <c r="A21" s="18">
        <v>16</v>
      </c>
      <c r="B21" s="19">
        <v>800</v>
      </c>
      <c r="C21" s="19">
        <v>0.08</v>
      </c>
      <c r="D21" s="19">
        <v>60000</v>
      </c>
      <c r="E21" s="19">
        <v>120000</v>
      </c>
      <c r="F21" s="19">
        <v>0.3</v>
      </c>
      <c r="G21" s="20"/>
      <c r="H21" s="20"/>
      <c r="I21" s="20"/>
      <c r="J21" s="20"/>
      <c r="K21" s="20"/>
      <c r="L21" s="21">
        <f t="shared" si="0"/>
        <v>1</v>
      </c>
      <c r="M21" s="22" t="s">
        <v>31</v>
      </c>
      <c r="N21" s="23"/>
    </row>
    <row r="22" spans="1:14" x14ac:dyDescent="0.3">
      <c r="A22" s="2">
        <v>17</v>
      </c>
      <c r="B22" s="14">
        <v>1200</v>
      </c>
      <c r="C22" s="14">
        <v>0.08</v>
      </c>
      <c r="D22" s="14">
        <v>60000</v>
      </c>
      <c r="E22" s="14">
        <v>120000</v>
      </c>
      <c r="F22" s="14">
        <v>0.3</v>
      </c>
      <c r="G22" s="3"/>
      <c r="H22" s="3"/>
      <c r="I22" s="3"/>
      <c r="J22" s="3"/>
      <c r="K22" s="3"/>
      <c r="L22" s="9">
        <f t="shared" si="0"/>
        <v>1</v>
      </c>
      <c r="M22" s="10" t="s">
        <v>32</v>
      </c>
      <c r="N22" s="17"/>
    </row>
    <row r="23" spans="1:14" x14ac:dyDescent="0.3">
      <c r="A23" s="2">
        <v>18</v>
      </c>
      <c r="B23" s="14">
        <v>1500</v>
      </c>
      <c r="C23" s="14">
        <v>0.08</v>
      </c>
      <c r="D23" s="14">
        <v>60000</v>
      </c>
      <c r="E23" s="14">
        <v>120000</v>
      </c>
      <c r="F23" s="14">
        <v>0.3</v>
      </c>
      <c r="G23" s="3"/>
      <c r="H23" s="3"/>
      <c r="I23" s="3"/>
      <c r="J23" s="3"/>
      <c r="K23" s="3"/>
      <c r="L23" s="9">
        <f t="shared" si="0"/>
        <v>1</v>
      </c>
      <c r="M23" s="10" t="s">
        <v>33</v>
      </c>
      <c r="N23" s="17"/>
    </row>
    <row r="24" spans="1:14" x14ac:dyDescent="0.3">
      <c r="A24" s="2">
        <v>19</v>
      </c>
      <c r="B24" s="14">
        <v>2000</v>
      </c>
      <c r="C24" s="14">
        <v>0.08</v>
      </c>
      <c r="D24" s="14">
        <v>60000</v>
      </c>
      <c r="E24" s="14">
        <v>120000</v>
      </c>
      <c r="F24" s="14">
        <v>0.3</v>
      </c>
      <c r="G24" s="3"/>
      <c r="H24" s="3"/>
      <c r="I24" s="3"/>
      <c r="J24" s="3"/>
      <c r="K24" s="3"/>
      <c r="L24" s="9">
        <f t="shared" si="0"/>
        <v>1</v>
      </c>
      <c r="M24" s="10" t="s">
        <v>34</v>
      </c>
      <c r="N24" s="17"/>
    </row>
    <row r="25" spans="1:14" x14ac:dyDescent="0.3">
      <c r="A25" s="2">
        <v>20</v>
      </c>
      <c r="B25" s="14">
        <v>1200</v>
      </c>
      <c r="C25" s="14">
        <v>0.12</v>
      </c>
      <c r="D25" s="14">
        <v>60000</v>
      </c>
      <c r="E25" s="14">
        <v>120000</v>
      </c>
      <c r="F25" s="14">
        <v>0.3</v>
      </c>
      <c r="G25" s="3"/>
      <c r="H25" s="3"/>
      <c r="I25" s="3"/>
      <c r="J25" s="3"/>
      <c r="K25" s="3"/>
      <c r="L25" s="9">
        <f t="shared" si="0"/>
        <v>1</v>
      </c>
      <c r="M25" s="10" t="s">
        <v>35</v>
      </c>
      <c r="N25" s="17"/>
    </row>
    <row r="26" spans="1:14" x14ac:dyDescent="0.3">
      <c r="A26" s="2">
        <v>21</v>
      </c>
      <c r="B26" s="14">
        <v>1500</v>
      </c>
      <c r="C26" s="14">
        <v>0.12</v>
      </c>
      <c r="D26" s="14">
        <v>60000</v>
      </c>
      <c r="E26" s="14">
        <v>120000</v>
      </c>
      <c r="F26" s="14">
        <v>0.3</v>
      </c>
      <c r="G26" s="3"/>
      <c r="H26" s="3"/>
      <c r="I26" s="3"/>
      <c r="J26" s="3"/>
      <c r="K26" s="3"/>
      <c r="L26" s="9">
        <f t="shared" si="0"/>
        <v>1</v>
      </c>
      <c r="M26" s="10" t="s">
        <v>36</v>
      </c>
      <c r="N26" s="17"/>
    </row>
    <row r="30" spans="1:14" x14ac:dyDescent="0.3">
      <c r="A30" s="24" t="s">
        <v>12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2" spans="1:14" x14ac:dyDescent="0.3">
      <c r="A32" s="2">
        <v>22</v>
      </c>
      <c r="B32" s="14"/>
      <c r="C32" s="14"/>
      <c r="D32" s="14"/>
      <c r="E32" s="14"/>
      <c r="F32" s="14"/>
      <c r="G32" s="3"/>
      <c r="H32" s="3"/>
      <c r="I32" s="3"/>
      <c r="J32" s="3"/>
      <c r="K32" s="3"/>
      <c r="L32" s="9">
        <f>0.3*ABS(G32-36.3)/36.3 + 0.25*ABS(I32-2.56)/2.56 + 0.2*ABS(J32-0.25)/0.25 + 0.25*ABS(K32-0.34)/0.34</f>
        <v>1</v>
      </c>
      <c r="M32" s="10" t="s">
        <v>37</v>
      </c>
      <c r="N32" s="17"/>
    </row>
    <row r="33" spans="1:14" x14ac:dyDescent="0.3">
      <c r="A33" s="2">
        <v>23</v>
      </c>
      <c r="B33" s="14"/>
      <c r="C33" s="14"/>
      <c r="D33" s="14"/>
      <c r="E33" s="14"/>
      <c r="F33" s="14"/>
      <c r="G33" s="3"/>
      <c r="H33" s="3"/>
      <c r="I33" s="3"/>
      <c r="J33" s="3"/>
      <c r="K33" s="3"/>
      <c r="L33" s="9">
        <f t="shared" ref="L33:L34" si="1">0.3*ABS(G33-36.3)/36.3 + 0.25*ABS(I33-2.56)/2.56 + 0.2*ABS(J33-0.25)/0.25 + 0.25*ABS(K33-0.34)/0.34</f>
        <v>1</v>
      </c>
      <c r="M33" s="10" t="s">
        <v>38</v>
      </c>
      <c r="N33" s="17"/>
    </row>
    <row r="34" spans="1:14" x14ac:dyDescent="0.3">
      <c r="A34" s="2">
        <v>24</v>
      </c>
      <c r="B34" s="14"/>
      <c r="C34" s="14"/>
      <c r="D34" s="14"/>
      <c r="E34" s="14"/>
      <c r="F34" s="14"/>
      <c r="G34" s="3"/>
      <c r="H34" s="3"/>
      <c r="I34" s="3"/>
      <c r="J34" s="3"/>
      <c r="K34" s="3"/>
      <c r="L34" s="9">
        <f t="shared" si="1"/>
        <v>1</v>
      </c>
      <c r="M34" s="10" t="s">
        <v>39</v>
      </c>
      <c r="N34" s="17"/>
    </row>
  </sheetData>
  <mergeCells count="4">
    <mergeCell ref="A3:N3"/>
    <mergeCell ref="A1:N1"/>
    <mergeCell ref="A2:N2"/>
    <mergeCell ref="A30:N30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Haraburda Piotr</dc:creator>
  <cp:lastModifiedBy>Haraburda Piotr</cp:lastModifiedBy>
  <dcterms:created xsi:type="dcterms:W3CDTF">2026-03-30T15:22:10Z</dcterms:created>
  <dcterms:modified xsi:type="dcterms:W3CDTF">2026-04-01T21:34:57Z</dcterms:modified>
</cp:coreProperties>
</file>
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cuments\"/>
    </mc:Choice>
  </mc:AlternateContent>
  <xr:revisionPtr revIDLastSave="0" documentId="13_ncr:1_{79700F90-F3E2-43E5-B1BF-9D5B535005EE}" xr6:coauthVersionLast="47" xr6:coauthVersionMax="47" xr10:uidLastSave="{00000000-0000-0000-0000-000000000000}"/>
  <bookViews>
    <workbookView xWindow="-108" yWindow="-108" windowWidth="23256" windowHeight="13896" xr2:uid="{E00F018A-51B7-4FBE-B871-94FC33AFF98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</calcChain>
</file>

<file path=xl/sharedStrings.xml><?xml version="1.0" encoding="utf-8"?>
<sst xmlns="http://schemas.openxmlformats.org/spreadsheetml/2006/main" count="74" uniqueCount="59">
  <si>
    <t>#</t>
  </si>
  <si>
    <t>A</t>
  </si>
  <si>
    <t>B</t>
  </si>
  <si>
    <t>τ</t>
  </si>
  <si>
    <t>RSET [s]</t>
  </si>
  <si>
    <t>Throughput [p/s]</t>
  </si>
  <si>
    <t>Mean speed [m/s]</t>
  </si>
  <si>
    <t>Error score</t>
  </si>
  <si>
    <t>Uwagi</t>
  </si>
  <si>
    <t>Run ID</t>
  </si>
  <si>
    <t>KALIBRACJA SFM - Grid Search na NarrowDoor LC_001</t>
  </si>
  <si>
    <t>Stałe: k=120000, κ=240000, m=80kg, r=0.2m, v₀=N(1.34,0.26) m/s</t>
  </si>
  <si>
    <t>LC_001_SFM_cal_01</t>
  </si>
  <si>
    <t>LC_001_SFM_cal_02</t>
  </si>
  <si>
    <t>LC_001_SFM_cal_03</t>
  </si>
  <si>
    <t>LC_001_SFM_cal_04</t>
  </si>
  <si>
    <t>LC_001_SFM_cal_05</t>
  </si>
  <si>
    <t>LC_001_SFM_cal_06</t>
  </si>
  <si>
    <t>LC_001_SFM_cal_07</t>
  </si>
  <si>
    <t>LC_001_SFM_cal_08</t>
  </si>
  <si>
    <t>LC_001_SFM_cal_09</t>
  </si>
  <si>
    <t>LC_001_SFM_cal_10</t>
  </si>
  <si>
    <t>LC_001_SFM_cal_11</t>
  </si>
  <si>
    <t>LC_001_SFM_cal_12</t>
  </si>
  <si>
    <t>LC_001_SFM_cal_14</t>
  </si>
  <si>
    <t>LC_001_SFM_cal_15</t>
  </si>
  <si>
    <t>LC_001_SFM_cal_16</t>
  </si>
  <si>
    <t>LC_001_SFM_cal_13</t>
  </si>
  <si>
    <t>LC_001_SFM</t>
  </si>
  <si>
    <t>---</t>
  </si>
  <si>
    <t>Mean headway [m]</t>
  </si>
  <si>
    <t>Cel empiryczny (Ghost LC_001): RSET=36.3s, throughput=2.56 ped/s, mean_speed=0.25 m/s, mean_headway=0,34 m</t>
  </si>
  <si>
    <t>k</t>
  </si>
  <si>
    <t>κ</t>
  </si>
  <si>
    <t>LC_001_SFM_cal_17</t>
  </si>
  <si>
    <t>LC_001_SFM_cal_18</t>
  </si>
  <si>
    <t>LC_001_SFM_cal_19</t>
  </si>
  <si>
    <t>LC_001_SFM_cal_20</t>
  </si>
  <si>
    <t>kanoniczny (inne r)</t>
  </si>
  <si>
    <t>duzy nacisk na sciane, odpychanie do tylu</t>
  </si>
  <si>
    <t>większe odpychnie do tyłu do połowy symulacji, następnie stabilizacja i ewakuacja w ścisku</t>
  </si>
  <si>
    <t>trzymanie większych odstępow przez agentów z tylu, brak agresji i przepychania, duże odstępy pod koniec ewakuacji i zwolnienie powodujące zablokowanie</t>
  </si>
  <si>
    <t>mocny ścisk, odpychanie w lewo i prawo w 1/4 ewakuacji, sprawna ewakuacja</t>
  </si>
  <si>
    <t>znowu to samo wystrzeliwywanie na boki czasami podczas ewakuacji, większe spowolnienie pod koniec</t>
  </si>
  <si>
    <t>na początku podczas ewakuacji kilka odepchań do tyłu</t>
  </si>
  <si>
    <t>szybsza ewakuacja, niewiele oscylacji, odepchań, duży ścisk</t>
  </si>
  <si>
    <t>brak nienaturalnego opdychania do tyłu jak w poprzednich symulacjach</t>
  </si>
  <si>
    <t>brak nienaturalnego opdychania do tyłu jak w poprzednich symulacjach, duże odstępy z tyłu, zablokowanie na koniec</t>
  </si>
  <si>
    <t>brak nienaturalnych oscylacji, sprawna ewakuacja</t>
  </si>
  <si>
    <t>duże odstępy między agentami, bardzo powolna ewakuacja, brak oscylacji</t>
  </si>
  <si>
    <t>dobra gęstość, sprawne interakcje, spowolnienie na koniec</t>
  </si>
  <si>
    <t>mało odpychania do tyłu, dobra gęstość</t>
  </si>
  <si>
    <t>spowolnienie pod koniec mimo szybkiej ewakuacji na początku, problemy z zablokowaniem pod koniec</t>
  </si>
  <si>
    <t>duża gęstość, brak nienaturalnego odpychania tłumu, najlepiej wyglądająca symulacja do tej pory</t>
  </si>
  <si>
    <t>to samo co w cal_15</t>
  </si>
  <si>
    <t>to samo co w cal_15, większe odstępy</t>
  </si>
  <si>
    <t>to samo co w cal_15 ale mniejszy scisk pod koniec</t>
  </si>
  <si>
    <t>to samo co w cal_15 ale mniejszy scisk pod koniec, problemy z wyjściem przez drzwi pod koniec</t>
  </si>
  <si>
    <t>to samo co w cal_15 ale mniejszy scisk i rownowaga pod koniec umozliwiajaca zakonczenie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</si>
</sst>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rial"/>
      <family val="2"/>
      <charset val="238"/>
    </font>
    <font>
      <sz val="11"/>
      <color theme="7" tint="-0.249977111117893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8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2">
    <cellStyle name="Normalny" xfId="0" builtinId="0"/>
    <cellStyle name="Normalny 2" xfId="1" xr:uid="{A7B74755-5DB1-4324-91BA-A678CB46C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41E4-C8F6-4244-B955-9D9C71C2DB24}">
  <dimension ref="A1:M26"/>
  <sheetViews>
    <sheetView tabSelected="1" topLeftCell="A17" workbookViewId="0">
      <selection activeCell="D34" sqref="D34"/>
    </sheetView>
  </sheetViews>
  <sheetFormatPr defaultRowHeight="15" x14ac:dyDescent="0.25"/>
  <cols>
    <col min="1" max="1" width="3.28515625" bestFit="1" customWidth="1"/>
    <col min="2" max="3" width="5" bestFit="1" customWidth="1"/>
    <col min="4" max="4" width="7" bestFit="1" customWidth="1"/>
    <col min="5" max="5" width="7" customWidth="1"/>
    <col min="6" max="6" width="7" bestFit="1" customWidth="1"/>
    <col min="7" max="7" width="10" bestFit="1" customWidth="1"/>
    <col min="8" max="8" width="18.28515625" bestFit="1" customWidth="1"/>
    <col min="9" max="9" width="19.140625" bestFit="1" customWidth="1"/>
    <col min="10" max="10" width="19.85546875" bestFit="1" customWidth="1"/>
    <col min="11" max="11" width="12.5703125" bestFit="1" customWidth="1"/>
    <col min="12" max="12" width="18" bestFit="1" customWidth="1"/>
    <col min="13" max="13" width="33.7109375" customWidth="1"/>
  </cols>
  <sheetData>
    <row r="1" spans="1:13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20" t="s">
        <v>31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1:13" x14ac:dyDescent="0.25">
      <c r="A5" s="1" t="s">
        <v>0</v>
      </c>
      <c r="B5" s="1" t="s">
        <v>1</v>
      </c>
      <c r="C5" s="1" t="s">
        <v>2</v>
      </c>
      <c r="D5" s="15" t="s">
        <v>32</v>
      </c>
      <c r="E5" s="15" t="s">
        <v>33</v>
      </c>
      <c r="F5" s="1" t="s">
        <v>3</v>
      </c>
      <c r="G5" s="1" t="s">
        <v>4</v>
      </c>
      <c r="H5" s="1" t="s">
        <v>5</v>
      </c>
      <c r="I5" s="1" t="s">
        <v>6</v>
      </c>
      <c r="J5" s="5" t="s">
        <v>30</v>
      </c>
      <c r="K5" s="1" t="s">
        <v>7</v>
      </c>
      <c r="L5" s="1" t="s">
        <v>9</v>
      </c>
      <c r="M5" s="1" t="s">
        <v>8</v>
      </c>
    </row>
    <row r="6" spans="1:13" x14ac:dyDescent="0.25">
      <c r="A6" s="2">
        <v>1</v>
      </c>
      <c r="B6" s="16">
        <v>2000</v>
      </c>
      <c r="C6" s="16">
        <v>0.08</v>
      </c>
      <c r="D6" s="16">
        <v>120000</v>
      </c>
      <c r="E6" s="16">
        <v>240000</v>
      </c>
      <c r="F6" s="16">
        <v>0.5</v>
      </c>
      <c r="G6" s="6">
        <v>76.92</v>
      </c>
      <c r="H6" s="6">
        <v>1.21</v>
      </c>
      <c r="I6" s="6">
        <v>0.24</v>
      </c>
      <c r="J6" s="14">
        <v>0.47</v>
      </c>
      <c r="K6" s="7">
        <f>0.3*ABS(G6-36.3)/36.3 + 0.25*ABS(H6-2.56)/2.56 + 0.2*ABS(I6-0.25)/0.25 + 0.25*ABS(J6-0.34)/0.34</f>
        <v>0.57112665213296065</v>
      </c>
      <c r="L6" s="8" t="s">
        <v>28</v>
      </c>
      <c r="M6" s="18" t="s">
        <v>38</v>
      </c>
    </row>
    <row r="7" spans="1:13" ht="30" x14ac:dyDescent="0.25">
      <c r="A7" s="2">
        <v>2</v>
      </c>
      <c r="B7" s="17">
        <v>500</v>
      </c>
      <c r="C7" s="17">
        <v>0.08</v>
      </c>
      <c r="D7" s="17">
        <v>120000</v>
      </c>
      <c r="E7" s="17">
        <v>240000</v>
      </c>
      <c r="F7" s="17">
        <v>0.3</v>
      </c>
      <c r="G7" s="9">
        <v>38.64</v>
      </c>
      <c r="H7" s="9">
        <v>2.41</v>
      </c>
      <c r="I7" s="9">
        <v>0.44</v>
      </c>
      <c r="J7" s="9">
        <v>0.35</v>
      </c>
      <c r="K7" s="10">
        <f t="shared" ref="K7:K26" si="0">0.3*ABS(G7-36.3)/36.3 + 0.25*ABS(H7-2.56)/2.56 + 0.2*ABS(I7-0.25)/0.25 + 0.25*ABS(J7-0.34)/0.34</f>
        <v>0.19334022165167722</v>
      </c>
      <c r="L7" s="11" t="s">
        <v>12</v>
      </c>
      <c r="M7" s="19" t="s">
        <v>39</v>
      </c>
    </row>
    <row r="8" spans="1:13" ht="45" x14ac:dyDescent="0.25">
      <c r="A8" s="2">
        <v>3</v>
      </c>
      <c r="B8" s="17">
        <v>500</v>
      </c>
      <c r="C8" s="17">
        <v>0.08</v>
      </c>
      <c r="D8" s="17">
        <v>120000</v>
      </c>
      <c r="E8" s="17">
        <v>240000</v>
      </c>
      <c r="F8" s="17">
        <v>0.5</v>
      </c>
      <c r="G8" s="9">
        <v>42.38</v>
      </c>
      <c r="H8" s="9">
        <v>2.19</v>
      </c>
      <c r="I8" s="9">
        <v>0.41</v>
      </c>
      <c r="J8" s="9">
        <v>0.37</v>
      </c>
      <c r="K8" s="10">
        <f t="shared" si="0"/>
        <v>0.23643956991370929</v>
      </c>
      <c r="L8" s="11" t="s">
        <v>13</v>
      </c>
      <c r="M8" s="19" t="s">
        <v>40</v>
      </c>
    </row>
    <row r="9" spans="1:13" ht="75" x14ac:dyDescent="0.25">
      <c r="A9" s="2">
        <v>4</v>
      </c>
      <c r="B9" s="17">
        <v>500</v>
      </c>
      <c r="C9" s="17">
        <v>0.2</v>
      </c>
      <c r="D9" s="17">
        <v>120000</v>
      </c>
      <c r="E9" s="17">
        <v>240000</v>
      </c>
      <c r="F9" s="17">
        <v>0.5</v>
      </c>
      <c r="G9" s="12" t="s">
        <v>29</v>
      </c>
      <c r="H9" s="12" t="s">
        <v>29</v>
      </c>
      <c r="I9" s="12" t="s">
        <v>29</v>
      </c>
      <c r="J9" s="12" t="s">
        <v>29</v>
      </c>
      <c r="K9" s="10" t="e">
        <f t="shared" si="0"/>
        <v>#VALUE!</v>
      </c>
      <c r="L9" s="11" t="s">
        <v>14</v>
      </c>
      <c r="M9" s="21" t="s">
        <v>41</v>
      </c>
    </row>
    <row r="10" spans="1:13" ht="45" x14ac:dyDescent="0.25">
      <c r="A10" s="2">
        <v>5</v>
      </c>
      <c r="B10" s="17">
        <v>800</v>
      </c>
      <c r="C10" s="17">
        <v>0.08</v>
      </c>
      <c r="D10" s="17">
        <v>120000</v>
      </c>
      <c r="E10" s="17">
        <v>240000</v>
      </c>
      <c r="F10" s="17">
        <v>0.3</v>
      </c>
      <c r="G10" s="9">
        <v>36.200000000000003</v>
      </c>
      <c r="H10" s="9">
        <v>2.57</v>
      </c>
      <c r="I10" s="9">
        <v>0.39</v>
      </c>
      <c r="J10" s="9">
        <v>0.37</v>
      </c>
      <c r="K10" s="10">
        <f t="shared" si="0"/>
        <v>0.13586183231040344</v>
      </c>
      <c r="L10" s="11" t="s">
        <v>15</v>
      </c>
      <c r="M10" s="19" t="s">
        <v>42</v>
      </c>
    </row>
    <row r="11" spans="1:13" ht="45" x14ac:dyDescent="0.25">
      <c r="A11" s="2">
        <v>6</v>
      </c>
      <c r="B11" s="17">
        <v>800</v>
      </c>
      <c r="C11" s="17">
        <v>0.08</v>
      </c>
      <c r="D11" s="17">
        <v>120000</v>
      </c>
      <c r="E11" s="17">
        <v>240000</v>
      </c>
      <c r="F11" s="17">
        <v>0.5</v>
      </c>
      <c r="G11" s="9">
        <v>47.94</v>
      </c>
      <c r="H11" s="9">
        <v>1.94</v>
      </c>
      <c r="I11" s="9">
        <v>0.34</v>
      </c>
      <c r="J11" s="9">
        <v>0.4</v>
      </c>
      <c r="K11" s="10">
        <f t="shared" si="0"/>
        <v>0.27286286916626157</v>
      </c>
      <c r="L11" s="11" t="s">
        <v>16</v>
      </c>
      <c r="M11" s="19" t="s">
        <v>43</v>
      </c>
    </row>
    <row r="12" spans="1:13" ht="30" x14ac:dyDescent="0.25">
      <c r="A12" s="2">
        <v>7</v>
      </c>
      <c r="B12" s="17">
        <v>800</v>
      </c>
      <c r="C12" s="17">
        <v>0.12</v>
      </c>
      <c r="D12" s="17">
        <v>120000</v>
      </c>
      <c r="E12" s="17">
        <v>240000</v>
      </c>
      <c r="F12" s="17">
        <v>0.3</v>
      </c>
      <c r="G12" s="9">
        <v>47.5</v>
      </c>
      <c r="H12" s="9">
        <v>1.96</v>
      </c>
      <c r="I12" s="9">
        <v>0.3</v>
      </c>
      <c r="J12" s="9">
        <v>0.42</v>
      </c>
      <c r="K12" s="10">
        <f t="shared" si="0"/>
        <v>0.24997926288283906</v>
      </c>
      <c r="L12" s="11" t="s">
        <v>17</v>
      </c>
      <c r="M12" s="19" t="s">
        <v>44</v>
      </c>
    </row>
    <row r="13" spans="1:13" ht="30" x14ac:dyDescent="0.25">
      <c r="A13" s="2">
        <v>8</v>
      </c>
      <c r="B13" s="17">
        <v>1200</v>
      </c>
      <c r="C13" s="17">
        <v>0.08</v>
      </c>
      <c r="D13" s="17">
        <v>120000</v>
      </c>
      <c r="E13" s="17">
        <v>240000</v>
      </c>
      <c r="F13" s="17">
        <v>0.3</v>
      </c>
      <c r="G13" s="9">
        <v>38.74</v>
      </c>
      <c r="H13" s="9">
        <v>2.4</v>
      </c>
      <c r="I13" s="9">
        <v>0.35</v>
      </c>
      <c r="J13" s="9">
        <v>0.4</v>
      </c>
      <c r="K13" s="10">
        <f t="shared" si="0"/>
        <v>0.15990793631502193</v>
      </c>
      <c r="L13" s="11" t="s">
        <v>18</v>
      </c>
      <c r="M13" s="19" t="s">
        <v>45</v>
      </c>
    </row>
    <row r="14" spans="1:13" ht="30" x14ac:dyDescent="0.25">
      <c r="A14" s="2">
        <v>9</v>
      </c>
      <c r="B14" s="17">
        <v>1200</v>
      </c>
      <c r="C14" s="17">
        <v>0.08</v>
      </c>
      <c r="D14" s="17">
        <v>120000</v>
      </c>
      <c r="E14" s="17">
        <v>240000</v>
      </c>
      <c r="F14" s="17">
        <v>0.5</v>
      </c>
      <c r="G14" s="9">
        <v>61.54</v>
      </c>
      <c r="H14" s="9">
        <v>1.51</v>
      </c>
      <c r="I14" s="9">
        <v>0.27</v>
      </c>
      <c r="J14" s="9">
        <v>0.43</v>
      </c>
      <c r="K14" s="10">
        <f t="shared" si="0"/>
        <v>0.3933105744105494</v>
      </c>
      <c r="L14" s="11" t="s">
        <v>19</v>
      </c>
      <c r="M14" s="19" t="s">
        <v>46</v>
      </c>
    </row>
    <row r="15" spans="1:13" ht="60" x14ac:dyDescent="0.25">
      <c r="A15" s="2">
        <v>10</v>
      </c>
      <c r="B15" s="17">
        <v>1200</v>
      </c>
      <c r="C15" s="17">
        <v>0.12</v>
      </c>
      <c r="D15" s="17">
        <v>120000</v>
      </c>
      <c r="E15" s="17">
        <v>240000</v>
      </c>
      <c r="F15" s="17">
        <v>0.5</v>
      </c>
      <c r="G15" s="12" t="s">
        <v>29</v>
      </c>
      <c r="H15" s="12" t="s">
        <v>29</v>
      </c>
      <c r="I15" s="12" t="s">
        <v>29</v>
      </c>
      <c r="J15" s="12" t="s">
        <v>29</v>
      </c>
      <c r="K15" s="10" t="e">
        <f t="shared" si="0"/>
        <v>#VALUE!</v>
      </c>
      <c r="L15" s="11" t="s">
        <v>20</v>
      </c>
      <c r="M15" s="19" t="s">
        <v>47</v>
      </c>
    </row>
    <row r="16" spans="1:13" ht="30" x14ac:dyDescent="0.25">
      <c r="A16" s="2">
        <v>11</v>
      </c>
      <c r="B16" s="17">
        <v>2000</v>
      </c>
      <c r="C16" s="17">
        <v>0.08</v>
      </c>
      <c r="D16" s="17">
        <v>120000</v>
      </c>
      <c r="E16" s="17">
        <v>240000</v>
      </c>
      <c r="F16" s="17">
        <v>0.3</v>
      </c>
      <c r="G16" s="9">
        <v>55.16</v>
      </c>
      <c r="H16" s="13">
        <v>1.69</v>
      </c>
      <c r="I16" s="9">
        <v>0.31</v>
      </c>
      <c r="J16" s="9">
        <v>0.44</v>
      </c>
      <c r="K16" s="10">
        <f t="shared" si="0"/>
        <v>0.36235811785974714</v>
      </c>
      <c r="L16" s="11" t="s">
        <v>21</v>
      </c>
      <c r="M16" s="19" t="s">
        <v>48</v>
      </c>
    </row>
    <row r="17" spans="1:13" ht="45" x14ac:dyDescent="0.25">
      <c r="A17" s="2">
        <v>12</v>
      </c>
      <c r="B17" s="17">
        <v>2000</v>
      </c>
      <c r="C17" s="17">
        <v>0.12</v>
      </c>
      <c r="D17" s="17">
        <v>120000</v>
      </c>
      <c r="E17" s="17">
        <v>240000</v>
      </c>
      <c r="F17" s="17">
        <v>0.5</v>
      </c>
      <c r="G17" s="12" t="s">
        <v>29</v>
      </c>
      <c r="H17" s="12" t="s">
        <v>29</v>
      </c>
      <c r="I17" s="12" t="s">
        <v>29</v>
      </c>
      <c r="J17" s="12" t="s">
        <v>29</v>
      </c>
      <c r="K17" s="10" t="e">
        <f t="shared" si="0"/>
        <v>#VALUE!</v>
      </c>
      <c r="L17" s="11" t="s">
        <v>22</v>
      </c>
      <c r="M17" s="19" t="s">
        <v>49</v>
      </c>
    </row>
    <row r="18" spans="1:13" ht="30" x14ac:dyDescent="0.25">
      <c r="A18" s="2">
        <v>13</v>
      </c>
      <c r="B18" s="17">
        <v>1200</v>
      </c>
      <c r="C18" s="17">
        <v>0.12</v>
      </c>
      <c r="D18" s="17">
        <v>120000</v>
      </c>
      <c r="E18" s="17">
        <v>240000</v>
      </c>
      <c r="F18" s="17">
        <v>0.3</v>
      </c>
      <c r="G18" s="3">
        <v>59.66</v>
      </c>
      <c r="H18" s="3">
        <v>1.59</v>
      </c>
      <c r="I18" s="3">
        <v>0.27</v>
      </c>
      <c r="J18" s="3">
        <v>0.47</v>
      </c>
      <c r="K18" s="10">
        <f t="shared" si="0"/>
        <v>0.39937264903378705</v>
      </c>
      <c r="L18" s="11" t="s">
        <v>23</v>
      </c>
      <c r="M18" s="22" t="s">
        <v>50</v>
      </c>
    </row>
    <row r="19" spans="1:13" ht="30" x14ac:dyDescent="0.25">
      <c r="A19" s="2">
        <v>14</v>
      </c>
      <c r="B19" s="17">
        <v>1500</v>
      </c>
      <c r="C19" s="17">
        <v>0.08</v>
      </c>
      <c r="D19" s="17">
        <v>120000</v>
      </c>
      <c r="E19" s="17">
        <v>240000</v>
      </c>
      <c r="F19" s="17">
        <v>0.3</v>
      </c>
      <c r="G19" s="3">
        <v>42.62</v>
      </c>
      <c r="H19" s="3">
        <v>2.1800000000000002</v>
      </c>
      <c r="I19" s="3">
        <v>0.34</v>
      </c>
      <c r="J19" s="3">
        <v>0.42</v>
      </c>
      <c r="K19" s="10">
        <f t="shared" si="0"/>
        <v>0.22016430937044235</v>
      </c>
      <c r="L19" s="11" t="s">
        <v>27</v>
      </c>
      <c r="M19" s="22" t="s">
        <v>51</v>
      </c>
    </row>
    <row r="20" spans="1:13" ht="60" x14ac:dyDescent="0.25">
      <c r="A20" s="2">
        <v>15</v>
      </c>
      <c r="B20" s="17">
        <v>1500</v>
      </c>
      <c r="C20" s="17">
        <v>0.12</v>
      </c>
      <c r="D20" s="17">
        <v>120000</v>
      </c>
      <c r="E20" s="17">
        <v>240000</v>
      </c>
      <c r="F20" s="17">
        <v>0.3</v>
      </c>
      <c r="G20" s="12" t="s">
        <v>29</v>
      </c>
      <c r="H20" s="12" t="s">
        <v>29</v>
      </c>
      <c r="I20" s="12" t="s">
        <v>29</v>
      </c>
      <c r="J20" s="12" t="s">
        <v>29</v>
      </c>
      <c r="K20" s="10" t="e">
        <f t="shared" si="0"/>
        <v>#VALUE!</v>
      </c>
      <c r="L20" s="11" t="s">
        <v>24</v>
      </c>
      <c r="M20" s="22" t="s">
        <v>52</v>
      </c>
    </row>
    <row r="21" spans="1:13" ht="45" x14ac:dyDescent="0.25">
      <c r="A21" s="23">
        <v>16</v>
      </c>
      <c r="B21" s="24">
        <v>800</v>
      </c>
      <c r="C21" s="24">
        <v>0.08</v>
      </c>
      <c r="D21" s="24">
        <v>60000</v>
      </c>
      <c r="E21" s="24">
        <v>120000</v>
      </c>
      <c r="F21" s="24">
        <v>0.3</v>
      </c>
      <c r="G21" s="25">
        <v>35.74</v>
      </c>
      <c r="H21" s="25">
        <v>2.6</v>
      </c>
      <c r="I21" s="25">
        <v>0.33</v>
      </c>
      <c r="J21" s="25">
        <v>0.38</v>
      </c>
      <c r="K21" s="26">
        <f t="shared" si="0"/>
        <v>0.10194611387943603</v>
      </c>
      <c r="L21" s="27" t="s">
        <v>25</v>
      </c>
      <c r="M21" s="28" t="s">
        <v>53</v>
      </c>
    </row>
    <row r="22" spans="1:13" x14ac:dyDescent="0.25">
      <c r="A22" s="2">
        <v>17</v>
      </c>
      <c r="B22" s="17">
        <v>1200</v>
      </c>
      <c r="C22" s="17">
        <v>0.08</v>
      </c>
      <c r="D22" s="17">
        <v>60000</v>
      </c>
      <c r="E22" s="17">
        <v>120000</v>
      </c>
      <c r="F22" s="17">
        <v>0.3</v>
      </c>
      <c r="G22" s="3">
        <v>37.42</v>
      </c>
      <c r="H22" s="3">
        <v>2.4900000000000002</v>
      </c>
      <c r="I22" s="3">
        <v>0.33</v>
      </c>
      <c r="J22" s="3">
        <v>0.4</v>
      </c>
      <c r="K22" s="10">
        <f t="shared" si="0"/>
        <v>0.124209782905931</v>
      </c>
      <c r="L22" s="11" t="s">
        <v>26</v>
      </c>
      <c r="M22" s="22" t="s">
        <v>54</v>
      </c>
    </row>
    <row r="23" spans="1:13" ht="30" x14ac:dyDescent="0.25">
      <c r="A23" s="2">
        <v>18</v>
      </c>
      <c r="B23" s="17">
        <v>1500</v>
      </c>
      <c r="C23" s="17">
        <v>0.08</v>
      </c>
      <c r="D23" s="17">
        <v>60000</v>
      </c>
      <c r="E23" s="17">
        <v>120000</v>
      </c>
      <c r="F23" s="17">
        <v>0.3</v>
      </c>
      <c r="G23" s="3">
        <v>41.56</v>
      </c>
      <c r="H23" s="3">
        <v>2.2400000000000002</v>
      </c>
      <c r="I23" s="3">
        <v>0.32</v>
      </c>
      <c r="J23" s="3">
        <v>0.42</v>
      </c>
      <c r="K23" s="10">
        <f t="shared" si="0"/>
        <v>0.18954460379193</v>
      </c>
      <c r="L23" s="11" t="s">
        <v>34</v>
      </c>
      <c r="M23" s="22" t="s">
        <v>55</v>
      </c>
    </row>
    <row r="24" spans="1:13" ht="30" x14ac:dyDescent="0.25">
      <c r="A24" s="2">
        <v>19</v>
      </c>
      <c r="B24" s="17">
        <v>2000</v>
      </c>
      <c r="C24" s="17">
        <v>0.08</v>
      </c>
      <c r="D24" s="17">
        <v>60000</v>
      </c>
      <c r="E24" s="17">
        <v>120000</v>
      </c>
      <c r="F24" s="17">
        <v>0.3</v>
      </c>
      <c r="G24" s="3">
        <v>47.94</v>
      </c>
      <c r="H24" s="3">
        <v>1.94</v>
      </c>
      <c r="I24" s="3">
        <v>0.32</v>
      </c>
      <c r="J24" s="3">
        <v>0.44</v>
      </c>
      <c r="K24" s="10">
        <f t="shared" si="0"/>
        <v>0.28627463387214386</v>
      </c>
      <c r="L24" s="11" t="s">
        <v>35</v>
      </c>
      <c r="M24" s="22" t="s">
        <v>56</v>
      </c>
    </row>
    <row r="25" spans="1:13" ht="45" x14ac:dyDescent="0.25">
      <c r="A25" s="2">
        <v>20</v>
      </c>
      <c r="B25" s="17">
        <v>1200</v>
      </c>
      <c r="C25" s="17">
        <v>0.12</v>
      </c>
      <c r="D25" s="17">
        <v>60000</v>
      </c>
      <c r="E25" s="17">
        <v>120000</v>
      </c>
      <c r="F25" s="17">
        <v>0.3</v>
      </c>
      <c r="G25" s="3">
        <v>56.28</v>
      </c>
      <c r="H25" s="3">
        <v>1.65</v>
      </c>
      <c r="I25" s="3">
        <v>0.28000000000000003</v>
      </c>
      <c r="J25" s="3">
        <v>0.46</v>
      </c>
      <c r="K25" s="10">
        <f t="shared" si="0"/>
        <v>0.36622644855979591</v>
      </c>
      <c r="L25" s="11" t="s">
        <v>36</v>
      </c>
      <c r="M25" s="22" t="s">
        <v>57</v>
      </c>
    </row>
    <row r="26" spans="1:13" ht="45" x14ac:dyDescent="0.25">
      <c r="A26" s="2">
        <v>21</v>
      </c>
      <c r="B26" s="17">
        <v>1500</v>
      </c>
      <c r="C26" s="17">
        <v>0.12</v>
      </c>
      <c r="D26" s="17">
        <v>60000</v>
      </c>
      <c r="E26" s="17">
        <v>120000</v>
      </c>
      <c r="F26" s="17">
        <v>0.3</v>
      </c>
      <c r="G26" s="3">
        <v>57.22</v>
      </c>
      <c r="H26" s="3">
        <v>1.63</v>
      </c>
      <c r="I26" s="3">
        <v>0.27</v>
      </c>
      <c r="J26" s="3">
        <v>0.47</v>
      </c>
      <c r="K26" s="10">
        <f t="shared" si="0"/>
        <v>0.37530110977758874</v>
      </c>
      <c r="L26" s="11" t="s">
        <v>37</v>
      </c>
      <c r="M26" s="22" t="s">
        <v>58</v>
      </c>
    </row>
  </sheetData>
  <mergeCells count="3">
    <mergeCell ref="A3:M3"/>
    <mergeCell ref="A1:M1"/>
    <mergeCell ref="A2:M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Haraburda Piotr</dc:creator>
  <cp:lastModifiedBy>Haraburda Piotr</cp:lastModifiedBy>
  <dcterms:created xsi:type="dcterms:W3CDTF">2026-03-30T15:22:10Z</dcterms:created>
  <dcterms:modified xsi:type="dcterms:W3CDTF">2026-03-31T20:47:13Z</dcterms:modified>
</cp:coreProperties>
</file>
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CrowdEvacuation\Metrics\"/>
    </mc:Choice>
  </mc:AlternateContent>
  <xr:revisionPtr revIDLastSave="0" documentId="13_ncr:1_{465E991D-180D-407E-9CFD-2C3F7CD2F707}" xr6:coauthVersionLast="47" xr6:coauthVersionMax="47" xr10:uidLastSave="{00000000-0000-0000-0000-000000000000}"/>
  <bookViews>
    <workbookView xWindow="-96" yWindow="-96" windowWidth="23232" windowHeight="13872" xr2:uid="{E00F018A-51B7-4FBE-B871-94FC33AFF98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K34" i="1"/>
  <c r="K35" i="1"/>
  <c r="K36" i="1"/>
  <c r="K37" i="1"/>
  <c r="K38" i="1"/>
  <c r="K39" i="1"/>
  <c r="K32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6" i="1"/>
</calcChain>
</file>

<file path=xl/sharedStrings.xml><?xml version="1.0" encoding="utf-8"?>
<sst xmlns="http://schemas.openxmlformats.org/spreadsheetml/2006/main" count="75" uniqueCount="73">
  <si>
    <t>#</t>
  </si>
  <si>
    <t>A</t>
  </si>
  <si>
    <t>B</t>
  </si>
  <si>
    <t>RSET [s]</t>
  </si>
  <si>
    <t>Throughput [p/s]</t>
  </si>
  <si>
    <t>Mean speed [m/s]</t>
  </si>
  <si>
    <t>Error score</t>
  </si>
  <si>
    <t>Uwagi</t>
  </si>
  <si>
    <t>Run ID</t>
  </si>
  <si>
    <t>KALIBRACJA SFM - Grid Search na NarrowDoor LC_001</t>
  </si>
  <si>
    <t>LC_001_SFM_cal_01</t>
  </si>
  <si>
    <t>LC_001_SFM_cal_02</t>
  </si>
  <si>
    <t>LC_001_SFM_cal_03</t>
  </si>
  <si>
    <t>LC_001_SFM_cal_04</t>
  </si>
  <si>
    <t>LC_001_SFM_cal_05</t>
  </si>
  <si>
    <t>LC_001_SFM_cal_06</t>
  </si>
  <si>
    <t>LC_001_SFM_cal_07</t>
  </si>
  <si>
    <t>LC_001_SFM_cal_08</t>
  </si>
  <si>
    <t>LC_001_SFM_cal_09</t>
  </si>
  <si>
    <t>LC_001_SFM_cal_10</t>
  </si>
  <si>
    <t>LC_001_SFM_cal_11</t>
  </si>
  <si>
    <t>LC_001_SFM_cal_12</t>
  </si>
  <si>
    <t>LC_001_SFM_cal_14</t>
  </si>
  <si>
    <t>LC_001_SFM_cal_15</t>
  </si>
  <si>
    <t>LC_001_SFM_cal_16</t>
  </si>
  <si>
    <t>LC_001_SFM_cal_13</t>
  </si>
  <si>
    <t>LC_001_SFM</t>
  </si>
  <si>
    <t>Mean headway [m]</t>
  </si>
  <si>
    <t>k</t>
  </si>
  <si>
    <t>κ</t>
  </si>
  <si>
    <t>LC_001_SFM_cal_17</t>
  </si>
  <si>
    <t>LC_001_SFM_cal_18</t>
  </si>
  <si>
    <t>LC_001_SFM_cal_19</t>
  </si>
  <si>
    <t>LC_001_SFM_cal_20</t>
  </si>
  <si>
    <t>LC_001_SFM_cal_21</t>
  </si>
  <si>
    <t>LC_001_SFM_cal_22</t>
  </si>
  <si>
    <t>LC_001_SFM_cal_23</t>
  </si>
  <si>
    <t>Fine tuning:</t>
  </si>
  <si>
    <t>Stałe:  m=80kg, r=N(0.185,0.015) m, v₀=N(1.34,0.26) m/s</t>
  </si>
  <si>
    <t xml:space="preserve">τ                                                                                                                                                                       </t>
  </si>
  <si>
    <t>kanoniczny z innym r - duze odstepy, lekkie drgania, odwracanie się agentow podczas ewakuacji, pod koniec jeszcze wieksze odstepy miedzy soba i spowolnienie</t>
  </si>
  <si>
    <t>szybsze reakcje, szybsze wychodzenie, agenci nadal czasami się obraają, utrzymują duże odstępy, spowolnienie na koniec ale ne takie duże</t>
  </si>
  <si>
    <t>większy ścisk, trochę agresywnie wychodzą, z tylu nadal duze odstepy</t>
  </si>
  <si>
    <t>wiekszy scisk, dosyć naturalnie wychodzą, brka oscylacji lub artefaktow</t>
  </si>
  <si>
    <t>jeszcze wiekszy scisk, czasem utrudnia wyjscie, odstepy wygladaja dosc naturalnie, nie ma aż tak duzego spowolnienia na koncu</t>
  </si>
  <si>
    <t>na poczatku pojawily się oscylacje od za duzego scisku, symulacja wygląda dosyć dobrze</t>
  </si>
  <si>
    <t>nienaturalny zbyt duzy scisk, blokowanie</t>
  </si>
  <si>
    <t>szybsze poruszanie się w ścisku, większe odstępy</t>
  </si>
  <si>
    <t>czasami odbijanie się od siebie, sprawna ewakuacja</t>
  </si>
  <si>
    <t>mniejsze odstępy, podobnie jak wyżej</t>
  </si>
  <si>
    <t>za duzy scisk przez co symulacja jest wolniejsza, blokuja się</t>
  </si>
  <si>
    <t>jeszcze szybsze poruszanie się w ścisku, brak artefaktów</t>
  </si>
  <si>
    <t>zdarzają się overlapy, szybka ewakuacja, większy ścisk</t>
  </si>
  <si>
    <t>zbyt duży ścisk powodujący spowolnioną ewakuację</t>
  </si>
  <si>
    <t>brak blokowania jak wyżej, szybkie reakcje, większe odstępy, spowolnienie pod koniec</t>
  </si>
  <si>
    <t>sprawna ewakuacja, bez blokowania, racjonalne odstępy</t>
  </si>
  <si>
    <t>znowu za duży ścisk spowalniający ewakuację</t>
  </si>
  <si>
    <t>na początku zdarzyło się odpychanie do tyłu nienaturalne, zdecydowanie większe odstępy (nienaturalne)</t>
  </si>
  <si>
    <t>odbijanie się od siebie, spowolnienie pod koniec</t>
  </si>
  <si>
    <t>LC_001_SFM_cal_24</t>
  </si>
  <si>
    <t>LC_001_SFM_cal_25</t>
  </si>
  <si>
    <t>na początku kilka spowolnień, następnie płynna ewakuacja w ścisku</t>
  </si>
  <si>
    <t>dobrze wyglądająca ewakuacja, sprawna, naturalnie wyglądające odstępy i ruchy</t>
  </si>
  <si>
    <t>lekko się odbijają od siebie, naturalnie przechodzą</t>
  </si>
  <si>
    <t>na początku blokowanie przez duży ścisk, potem odblokowanie i sprawne przejście</t>
  </si>
  <si>
    <t>mocniejszy nacisk ale blokowanie się w pierwszej połowie symulacji</t>
  </si>
  <si>
    <t>LC_001_SFM_cal_26</t>
  </si>
  <si>
    <t>LC_001_SFM_cal_27</t>
  </si>
  <si>
    <t>LC_001_SFM_cal_28</t>
  </si>
  <si>
    <t>nienaturalne odbijanie się od siebie na początku</t>
  </si>
  <si>
    <t>brak nienaturalnego odbijania się ale nadal duży nacisk który powoduje dłuższą ewakuację</t>
  </si>
  <si>
    <t>na początku odpychanie do tyłu, w pewnym momencie nawet zablokowanie całkowite wymuszające ponowne uruchomienie, przepychanie tłumu na boki</t>
  </si>
  <si>
    <t>Cel empiryczny (Ghost LC_001): RSET=36.3s, throughput=2.56 ped/s, mean_speed=0.37 m/s, mean_headway=0,31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</si>
</sst>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Arial"/>
      <family val="2"/>
      <charset val="238"/>
    </font>
    <font>
      <sz val="11"/>
      <color theme="7" tint="-0.249977111117893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ny" xfId="0" builtinId="0"/>
    <cellStyle name="Normalny 2" xfId="1" xr:uid="{A7B74755-5DB1-4324-91BA-A678CB46C0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41E4-C8F6-4244-B955-9D9C71C2DB24}">
  <dimension ref="A1:M39"/>
  <sheetViews>
    <sheetView tabSelected="1" workbookViewId="0">
      <selection activeCell="K32" sqref="K32:K39"/>
    </sheetView>
  </sheetViews>
  <sheetFormatPr defaultRowHeight="14.4" x14ac:dyDescent="0.3"/>
  <cols>
    <col min="1" max="1" width="3.33203125" bestFit="1" customWidth="1"/>
    <col min="2" max="3" width="5" bestFit="1" customWidth="1"/>
    <col min="4" max="4" width="7" bestFit="1" customWidth="1"/>
    <col min="5" max="5" width="7" customWidth="1"/>
    <col min="6" max="6" width="7" bestFit="1" customWidth="1"/>
    <col min="7" max="7" width="10" bestFit="1" customWidth="1"/>
    <col min="8" max="8" width="18.33203125" bestFit="1" customWidth="1"/>
    <col min="9" max="9" width="19.109375" bestFit="1" customWidth="1"/>
    <col min="10" max="10" width="19.88671875" bestFit="1" customWidth="1"/>
    <col min="11" max="11" width="12.5546875" bestFit="1" customWidth="1"/>
    <col min="12" max="12" width="18" bestFit="1" customWidth="1"/>
    <col min="13" max="13" width="33.6640625" customWidth="1"/>
  </cols>
  <sheetData>
    <row r="1" spans="1:13" x14ac:dyDescent="0.3">
      <c r="A1" s="28" t="s">
        <v>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3">
      <c r="A2" s="28" t="s">
        <v>38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x14ac:dyDescent="0.3">
      <c r="A3" s="28" t="s">
        <v>72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5" spans="1:13" x14ac:dyDescent="0.3">
      <c r="A5" s="1" t="s">
        <v>0</v>
      </c>
      <c r="B5" s="1" t="s">
        <v>1</v>
      </c>
      <c r="C5" s="1" t="s">
        <v>2</v>
      </c>
      <c r="D5" s="12" t="s">
        <v>28</v>
      </c>
      <c r="E5" s="12" t="s">
        <v>29</v>
      </c>
      <c r="F5" s="1" t="s">
        <v>39</v>
      </c>
      <c r="G5" s="1" t="s">
        <v>3</v>
      </c>
      <c r="H5" s="1" t="s">
        <v>4</v>
      </c>
      <c r="I5" s="1" t="s">
        <v>5</v>
      </c>
      <c r="J5" s="4" t="s">
        <v>27</v>
      </c>
      <c r="K5" s="1" t="s">
        <v>6</v>
      </c>
      <c r="L5" s="1" t="s">
        <v>8</v>
      </c>
      <c r="M5" s="1" t="s">
        <v>7</v>
      </c>
    </row>
    <row r="6" spans="1:13" ht="72" x14ac:dyDescent="0.3">
      <c r="A6" s="2">
        <v>1</v>
      </c>
      <c r="B6" s="13">
        <v>2000</v>
      </c>
      <c r="C6" s="13">
        <v>0.08</v>
      </c>
      <c r="D6" s="13">
        <v>120000</v>
      </c>
      <c r="E6" s="13">
        <v>240000</v>
      </c>
      <c r="F6" s="13">
        <v>0.5</v>
      </c>
      <c r="G6" s="5"/>
      <c r="H6" s="5"/>
      <c r="I6" s="5"/>
      <c r="J6" s="7"/>
      <c r="K6" s="6">
        <f>0.3*ABS(G6-36.3)/36.3 + 0.25*ABS(H6-2.56)/2.56 + 0.2*ABS(I6-0.37)/0.37 + 0.25*ABS(J6-0.31)/0.31</f>
        <v>1</v>
      </c>
      <c r="L6" s="7" t="s">
        <v>26</v>
      </c>
      <c r="M6" s="15" t="s">
        <v>40</v>
      </c>
    </row>
    <row r="7" spans="1:13" ht="57.6" x14ac:dyDescent="0.3">
      <c r="A7" s="2">
        <v>2</v>
      </c>
      <c r="B7" s="14">
        <v>2000</v>
      </c>
      <c r="C7" s="14">
        <v>0.08</v>
      </c>
      <c r="D7" s="14">
        <v>120000</v>
      </c>
      <c r="E7" s="14">
        <v>240000</v>
      </c>
      <c r="F7" s="14">
        <v>0.3</v>
      </c>
      <c r="G7" s="8"/>
      <c r="H7" s="8"/>
      <c r="I7" s="8"/>
      <c r="J7" s="8"/>
      <c r="K7" s="9">
        <f t="shared" ref="K7:K26" si="0">0.3*ABS(G7-36.3)/36.3 + 0.25*ABS(H7-2.56)/2.56 + 0.2*ABS(I7-0.37)/0.37 + 0.25*ABS(J7-0.31)/0.31</f>
        <v>1</v>
      </c>
      <c r="L7" s="10" t="s">
        <v>10</v>
      </c>
      <c r="M7" s="16" t="s">
        <v>41</v>
      </c>
    </row>
    <row r="8" spans="1:13" ht="28.8" x14ac:dyDescent="0.3">
      <c r="A8" s="2">
        <v>3</v>
      </c>
      <c r="B8" s="14">
        <v>1500</v>
      </c>
      <c r="C8" s="14">
        <v>0.08</v>
      </c>
      <c r="D8" s="14">
        <v>120000</v>
      </c>
      <c r="E8" s="14">
        <v>240000</v>
      </c>
      <c r="F8" s="14">
        <v>0.3</v>
      </c>
      <c r="G8" s="8"/>
      <c r="H8" s="8"/>
      <c r="I8" s="8"/>
      <c r="J8" s="8"/>
      <c r="K8" s="9">
        <f t="shared" si="0"/>
        <v>1</v>
      </c>
      <c r="L8" s="10" t="s">
        <v>11</v>
      </c>
      <c r="M8" s="16" t="s">
        <v>42</v>
      </c>
    </row>
    <row r="9" spans="1:13" ht="28.8" x14ac:dyDescent="0.3">
      <c r="A9" s="2">
        <v>4</v>
      </c>
      <c r="B9" s="14">
        <v>1200</v>
      </c>
      <c r="C9" s="14">
        <v>0.08</v>
      </c>
      <c r="D9" s="14">
        <v>120000</v>
      </c>
      <c r="E9" s="14">
        <v>240000</v>
      </c>
      <c r="F9" s="14">
        <v>0.3</v>
      </c>
      <c r="G9" s="11"/>
      <c r="H9" s="11"/>
      <c r="I9" s="11"/>
      <c r="J9" s="11"/>
      <c r="K9" s="9">
        <f t="shared" si="0"/>
        <v>1</v>
      </c>
      <c r="L9" s="10" t="s">
        <v>12</v>
      </c>
      <c r="M9" s="16" t="s">
        <v>43</v>
      </c>
    </row>
    <row r="10" spans="1:13" ht="57.6" x14ac:dyDescent="0.3">
      <c r="A10" s="2">
        <v>5</v>
      </c>
      <c r="B10" s="14">
        <v>800</v>
      </c>
      <c r="C10" s="14">
        <v>0.08</v>
      </c>
      <c r="D10" s="14">
        <v>120000</v>
      </c>
      <c r="E10" s="14">
        <v>240000</v>
      </c>
      <c r="F10" s="14">
        <v>0.3</v>
      </c>
      <c r="G10" s="8"/>
      <c r="H10" s="8"/>
      <c r="I10" s="8"/>
      <c r="J10" s="8"/>
      <c r="K10" s="9">
        <f t="shared" si="0"/>
        <v>1</v>
      </c>
      <c r="L10" s="10" t="s">
        <v>13</v>
      </c>
      <c r="M10" s="16" t="s">
        <v>44</v>
      </c>
    </row>
    <row r="11" spans="1:13" ht="43.2" x14ac:dyDescent="0.3">
      <c r="A11" s="2">
        <v>6</v>
      </c>
      <c r="B11" s="14">
        <v>600</v>
      </c>
      <c r="C11" s="14">
        <v>0.08</v>
      </c>
      <c r="D11" s="14">
        <v>120000</v>
      </c>
      <c r="E11" s="14">
        <v>240000</v>
      </c>
      <c r="F11" s="14">
        <v>0.3</v>
      </c>
      <c r="G11" s="8"/>
      <c r="H11" s="8"/>
      <c r="I11" s="8"/>
      <c r="J11" s="8"/>
      <c r="K11" s="9">
        <f t="shared" si="0"/>
        <v>1</v>
      </c>
      <c r="L11" s="10" t="s">
        <v>14</v>
      </c>
      <c r="M11" s="16" t="s">
        <v>45</v>
      </c>
    </row>
    <row r="12" spans="1:13" x14ac:dyDescent="0.3">
      <c r="A12" s="2">
        <v>7</v>
      </c>
      <c r="B12" s="14">
        <v>400</v>
      </c>
      <c r="C12" s="14">
        <v>0.08</v>
      </c>
      <c r="D12" s="14">
        <v>120000</v>
      </c>
      <c r="E12" s="14">
        <v>240000</v>
      </c>
      <c r="F12" s="14">
        <v>0.3</v>
      </c>
      <c r="G12" s="8"/>
      <c r="H12" s="8"/>
      <c r="I12" s="8"/>
      <c r="J12" s="8"/>
      <c r="K12" s="9">
        <f t="shared" si="0"/>
        <v>1</v>
      </c>
      <c r="L12" s="10" t="s">
        <v>15</v>
      </c>
      <c r="M12" s="16" t="s">
        <v>46</v>
      </c>
    </row>
    <row r="13" spans="1:13" ht="28.8" x14ac:dyDescent="0.3">
      <c r="A13" s="2">
        <v>8</v>
      </c>
      <c r="B13" s="14">
        <v>1200</v>
      </c>
      <c r="C13" s="14">
        <v>0.08</v>
      </c>
      <c r="D13" s="14">
        <v>80000</v>
      </c>
      <c r="E13" s="14">
        <v>160000</v>
      </c>
      <c r="F13" s="14">
        <v>0.3</v>
      </c>
      <c r="G13" s="8"/>
      <c r="H13" s="8"/>
      <c r="I13" s="8"/>
      <c r="J13" s="8"/>
      <c r="K13" s="9">
        <f t="shared" si="0"/>
        <v>1</v>
      </c>
      <c r="L13" s="10" t="s">
        <v>16</v>
      </c>
      <c r="M13" s="16" t="s">
        <v>47</v>
      </c>
    </row>
    <row r="14" spans="1:13" ht="28.8" x14ac:dyDescent="0.3">
      <c r="A14" s="2">
        <v>9</v>
      </c>
      <c r="B14" s="14">
        <v>800</v>
      </c>
      <c r="C14" s="14">
        <v>0.08</v>
      </c>
      <c r="D14" s="14">
        <v>80000</v>
      </c>
      <c r="E14" s="14">
        <v>160000</v>
      </c>
      <c r="F14" s="14">
        <v>0.3</v>
      </c>
      <c r="G14" s="8"/>
      <c r="H14" s="8"/>
      <c r="I14" s="8"/>
      <c r="J14" s="8"/>
      <c r="K14" s="9">
        <f t="shared" si="0"/>
        <v>1</v>
      </c>
      <c r="L14" s="10" t="s">
        <v>17</v>
      </c>
      <c r="M14" s="16" t="s">
        <v>48</v>
      </c>
    </row>
    <row r="15" spans="1:13" x14ac:dyDescent="0.3">
      <c r="A15" s="2">
        <v>10</v>
      </c>
      <c r="B15" s="14">
        <v>600</v>
      </c>
      <c r="C15" s="14">
        <v>0.08</v>
      </c>
      <c r="D15" s="14">
        <v>80000</v>
      </c>
      <c r="E15" s="14">
        <v>160000</v>
      </c>
      <c r="F15" s="14">
        <v>0.3</v>
      </c>
      <c r="G15" s="11"/>
      <c r="H15" s="11"/>
      <c r="I15" s="11"/>
      <c r="J15" s="11"/>
      <c r="K15" s="9">
        <f t="shared" si="0"/>
        <v>1</v>
      </c>
      <c r="L15" s="10" t="s">
        <v>18</v>
      </c>
      <c r="M15" s="16" t="s">
        <v>49</v>
      </c>
    </row>
    <row r="16" spans="1:13" ht="28.8" x14ac:dyDescent="0.3">
      <c r="A16" s="2">
        <v>11</v>
      </c>
      <c r="B16" s="14">
        <v>400</v>
      </c>
      <c r="C16" s="14">
        <v>0.08</v>
      </c>
      <c r="D16" s="14">
        <v>80000</v>
      </c>
      <c r="E16" s="14">
        <v>160000</v>
      </c>
      <c r="F16" s="14">
        <v>0.3</v>
      </c>
      <c r="G16" s="8"/>
      <c r="H16" s="8"/>
      <c r="I16" s="8"/>
      <c r="J16" s="8"/>
      <c r="K16" s="9">
        <f t="shared" si="0"/>
        <v>1</v>
      </c>
      <c r="L16" s="10" t="s">
        <v>19</v>
      </c>
      <c r="M16" s="16" t="s">
        <v>50</v>
      </c>
    </row>
    <row r="17" spans="1:13" ht="28.8" x14ac:dyDescent="0.3">
      <c r="A17" s="2">
        <v>12</v>
      </c>
      <c r="B17" s="14">
        <v>1200</v>
      </c>
      <c r="C17" s="14">
        <v>0.08</v>
      </c>
      <c r="D17" s="14">
        <v>60000</v>
      </c>
      <c r="E17" s="14">
        <v>120000</v>
      </c>
      <c r="F17" s="14">
        <v>0.3</v>
      </c>
      <c r="G17" s="11"/>
      <c r="H17" s="11"/>
      <c r="I17" s="11"/>
      <c r="J17" s="11"/>
      <c r="K17" s="9">
        <f t="shared" si="0"/>
        <v>1</v>
      </c>
      <c r="L17" s="10" t="s">
        <v>20</v>
      </c>
      <c r="M17" s="16" t="s">
        <v>51</v>
      </c>
    </row>
    <row r="18" spans="1:13" ht="28.8" x14ac:dyDescent="0.3">
      <c r="A18" s="23">
        <v>13</v>
      </c>
      <c r="B18" s="24">
        <v>800</v>
      </c>
      <c r="C18" s="24">
        <v>0.08</v>
      </c>
      <c r="D18" s="24">
        <v>60000</v>
      </c>
      <c r="E18" s="24">
        <v>120000</v>
      </c>
      <c r="F18" s="24">
        <v>0.3</v>
      </c>
      <c r="G18" s="25"/>
      <c r="H18" s="25"/>
      <c r="I18" s="25"/>
      <c r="J18" s="25"/>
      <c r="K18" s="9">
        <f t="shared" si="0"/>
        <v>1</v>
      </c>
      <c r="L18" s="26" t="s">
        <v>21</v>
      </c>
      <c r="M18" s="27" t="s">
        <v>52</v>
      </c>
    </row>
    <row r="19" spans="1:13" ht="28.8" x14ac:dyDescent="0.3">
      <c r="A19" s="2">
        <v>14</v>
      </c>
      <c r="B19" s="14">
        <v>600</v>
      </c>
      <c r="C19" s="14">
        <v>0.08</v>
      </c>
      <c r="D19" s="14">
        <v>60000</v>
      </c>
      <c r="E19" s="14">
        <v>120000</v>
      </c>
      <c r="F19" s="14">
        <v>0.3</v>
      </c>
      <c r="G19" s="3"/>
      <c r="H19" s="3"/>
      <c r="I19" s="3"/>
      <c r="J19" s="3"/>
      <c r="K19" s="9">
        <f t="shared" si="0"/>
        <v>1</v>
      </c>
      <c r="L19" s="10" t="s">
        <v>25</v>
      </c>
      <c r="M19" s="17" t="s">
        <v>53</v>
      </c>
    </row>
    <row r="20" spans="1:13" ht="28.8" x14ac:dyDescent="0.3">
      <c r="A20" s="2">
        <v>15</v>
      </c>
      <c r="B20" s="14">
        <v>400</v>
      </c>
      <c r="C20" s="14">
        <v>0.08</v>
      </c>
      <c r="D20" s="14">
        <v>60000</v>
      </c>
      <c r="E20" s="14">
        <v>120000</v>
      </c>
      <c r="F20" s="14">
        <v>0.3</v>
      </c>
      <c r="G20" s="11"/>
      <c r="H20" s="11"/>
      <c r="I20" s="11"/>
      <c r="J20" s="11"/>
      <c r="K20" s="9">
        <f t="shared" si="0"/>
        <v>1</v>
      </c>
      <c r="L20" s="10" t="s">
        <v>22</v>
      </c>
      <c r="M20" s="17" t="s">
        <v>53</v>
      </c>
    </row>
    <row r="21" spans="1:13" ht="43.2" x14ac:dyDescent="0.3">
      <c r="A21" s="18">
        <v>16</v>
      </c>
      <c r="B21" s="19">
        <v>1200</v>
      </c>
      <c r="C21" s="19">
        <v>0.08</v>
      </c>
      <c r="D21" s="19">
        <v>40000</v>
      </c>
      <c r="E21" s="19">
        <v>80000</v>
      </c>
      <c r="F21" s="19">
        <v>0.3</v>
      </c>
      <c r="G21" s="20"/>
      <c r="H21" s="20"/>
      <c r="I21" s="20"/>
      <c r="J21" s="20"/>
      <c r="K21" s="9">
        <f t="shared" si="0"/>
        <v>1</v>
      </c>
      <c r="L21" s="21" t="s">
        <v>23</v>
      </c>
      <c r="M21" s="22" t="s">
        <v>54</v>
      </c>
    </row>
    <row r="22" spans="1:13" ht="28.8" x14ac:dyDescent="0.3">
      <c r="A22" s="2">
        <v>17</v>
      </c>
      <c r="B22" s="14">
        <v>800</v>
      </c>
      <c r="C22" s="14">
        <v>0.08</v>
      </c>
      <c r="D22" s="14">
        <v>40000</v>
      </c>
      <c r="E22" s="14">
        <v>80000</v>
      </c>
      <c r="F22" s="14">
        <v>0.3</v>
      </c>
      <c r="G22" s="3"/>
      <c r="H22" s="3"/>
      <c r="I22" s="3"/>
      <c r="J22" s="3"/>
      <c r="K22" s="9">
        <f t="shared" si="0"/>
        <v>1</v>
      </c>
      <c r="L22" s="10" t="s">
        <v>24</v>
      </c>
      <c r="M22" s="17" t="s">
        <v>55</v>
      </c>
    </row>
    <row r="23" spans="1:13" ht="28.8" x14ac:dyDescent="0.3">
      <c r="A23" s="2">
        <v>18</v>
      </c>
      <c r="B23" s="14">
        <v>600</v>
      </c>
      <c r="C23" s="14">
        <v>0.08</v>
      </c>
      <c r="D23" s="14">
        <v>40000</v>
      </c>
      <c r="E23" s="14">
        <v>80000</v>
      </c>
      <c r="F23" s="14">
        <v>0.3</v>
      </c>
      <c r="G23" s="3"/>
      <c r="H23" s="3"/>
      <c r="I23" s="3"/>
      <c r="J23" s="3"/>
      <c r="K23" s="9">
        <f t="shared" si="0"/>
        <v>1</v>
      </c>
      <c r="L23" s="10" t="s">
        <v>30</v>
      </c>
      <c r="M23" s="17" t="s">
        <v>56</v>
      </c>
    </row>
    <row r="24" spans="1:13" ht="28.8" x14ac:dyDescent="0.3">
      <c r="A24" s="2">
        <v>19</v>
      </c>
      <c r="B24" s="14">
        <v>400</v>
      </c>
      <c r="C24" s="14">
        <v>0.08</v>
      </c>
      <c r="D24" s="14">
        <v>40000</v>
      </c>
      <c r="E24" s="14">
        <v>80000</v>
      </c>
      <c r="F24" s="14">
        <v>0.3</v>
      </c>
      <c r="G24" s="3"/>
      <c r="H24" s="3"/>
      <c r="I24" s="3"/>
      <c r="J24" s="3"/>
      <c r="K24" s="9">
        <f t="shared" si="0"/>
        <v>1</v>
      </c>
      <c r="L24" s="10" t="s">
        <v>31</v>
      </c>
      <c r="M24" s="17" t="s">
        <v>56</v>
      </c>
    </row>
    <row r="25" spans="1:13" ht="43.2" x14ac:dyDescent="0.3">
      <c r="A25" s="2">
        <v>20</v>
      </c>
      <c r="B25" s="14">
        <v>800</v>
      </c>
      <c r="C25" s="14">
        <v>0.08</v>
      </c>
      <c r="D25" s="14">
        <v>120000</v>
      </c>
      <c r="E25" s="14">
        <v>240000</v>
      </c>
      <c r="F25" s="14">
        <v>0.5</v>
      </c>
      <c r="G25" s="3"/>
      <c r="H25" s="3"/>
      <c r="I25" s="3"/>
      <c r="J25" s="3"/>
      <c r="K25" s="9">
        <f t="shared" si="0"/>
        <v>1</v>
      </c>
      <c r="L25" s="10" t="s">
        <v>32</v>
      </c>
      <c r="M25" s="17" t="s">
        <v>57</v>
      </c>
    </row>
    <row r="26" spans="1:13" ht="28.8" x14ac:dyDescent="0.3">
      <c r="A26" s="2">
        <v>21</v>
      </c>
      <c r="B26" s="14">
        <v>600</v>
      </c>
      <c r="C26" s="14">
        <v>0.08</v>
      </c>
      <c r="D26" s="14">
        <v>80000</v>
      </c>
      <c r="E26" s="14">
        <v>160000</v>
      </c>
      <c r="F26" s="14">
        <v>0.5</v>
      </c>
      <c r="G26" s="3"/>
      <c r="H26" s="3"/>
      <c r="I26" s="3"/>
      <c r="J26" s="3"/>
      <c r="K26" s="9">
        <f t="shared" si="0"/>
        <v>1</v>
      </c>
      <c r="L26" s="10" t="s">
        <v>33</v>
      </c>
      <c r="M26" s="17" t="s">
        <v>58</v>
      </c>
    </row>
    <row r="30" spans="1:13" x14ac:dyDescent="0.3">
      <c r="A30" s="28" t="s">
        <v>37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2" spans="1:13" ht="28.8" x14ac:dyDescent="0.3">
      <c r="A32" s="2">
        <v>22</v>
      </c>
      <c r="B32" s="14">
        <v>800</v>
      </c>
      <c r="C32" s="14">
        <v>0.06</v>
      </c>
      <c r="D32" s="14">
        <v>60000</v>
      </c>
      <c r="E32" s="14">
        <v>120000</v>
      </c>
      <c r="F32" s="14">
        <v>0.3</v>
      </c>
      <c r="G32" s="3"/>
      <c r="H32" s="3"/>
      <c r="I32" s="3"/>
      <c r="J32" s="3"/>
      <c r="K32" s="9">
        <f>0.3*ABS(G32-36.3)/36.3 + 0.25*ABS(H32-2.56)/2.56 + 0.2*ABS(I32-0.37)/0.37 + 0.25*ABS(J32-0.31)/0.31</f>
        <v>1</v>
      </c>
      <c r="L32" s="10" t="s">
        <v>34</v>
      </c>
      <c r="M32" s="17" t="s">
        <v>61</v>
      </c>
    </row>
    <row r="33" spans="1:13" ht="43.2" x14ac:dyDescent="0.3">
      <c r="A33" s="2">
        <v>23</v>
      </c>
      <c r="B33" s="14">
        <v>800</v>
      </c>
      <c r="C33" s="14">
        <v>0.06</v>
      </c>
      <c r="D33" s="14">
        <v>40000</v>
      </c>
      <c r="E33" s="14">
        <v>80000</v>
      </c>
      <c r="F33" s="14">
        <v>0.3</v>
      </c>
      <c r="G33" s="3"/>
      <c r="H33" s="3"/>
      <c r="I33" s="3"/>
      <c r="J33" s="3"/>
      <c r="K33" s="9">
        <f t="shared" ref="K33:K39" si="1">0.3*ABS(G33-36.3)/36.3 + 0.25*ABS(H33-2.56)/2.56 + 0.2*ABS(I33-0.37)/0.37 + 0.25*ABS(J33-0.31)/0.31</f>
        <v>1</v>
      </c>
      <c r="L33" s="10" t="s">
        <v>35</v>
      </c>
      <c r="M33" s="17" t="s">
        <v>62</v>
      </c>
    </row>
    <row r="34" spans="1:13" ht="28.8" x14ac:dyDescent="0.3">
      <c r="A34" s="23">
        <v>24</v>
      </c>
      <c r="B34" s="24">
        <v>800</v>
      </c>
      <c r="C34" s="24">
        <v>0.04</v>
      </c>
      <c r="D34" s="24">
        <v>60000</v>
      </c>
      <c r="E34" s="24">
        <v>120000</v>
      </c>
      <c r="F34" s="24">
        <v>0.3</v>
      </c>
      <c r="G34" s="25"/>
      <c r="H34" s="25"/>
      <c r="I34" s="25"/>
      <c r="J34" s="25"/>
      <c r="K34" s="9">
        <f t="shared" si="1"/>
        <v>1</v>
      </c>
      <c r="L34" s="26" t="s">
        <v>36</v>
      </c>
      <c r="M34" s="27" t="s">
        <v>63</v>
      </c>
    </row>
    <row r="35" spans="1:13" ht="43.2" x14ac:dyDescent="0.3">
      <c r="A35" s="2">
        <v>25</v>
      </c>
      <c r="B35" s="14">
        <v>800</v>
      </c>
      <c r="C35" s="14">
        <v>0.04</v>
      </c>
      <c r="D35" s="14">
        <v>40000</v>
      </c>
      <c r="E35" s="14">
        <v>80000</v>
      </c>
      <c r="F35" s="14">
        <v>0.3</v>
      </c>
      <c r="G35" s="3"/>
      <c r="H35" s="3"/>
      <c r="I35" s="3"/>
      <c r="J35" s="3"/>
      <c r="K35" s="9">
        <f t="shared" si="1"/>
        <v>1</v>
      </c>
      <c r="L35" s="10" t="s">
        <v>59</v>
      </c>
      <c r="M35" s="17" t="s">
        <v>64</v>
      </c>
    </row>
    <row r="36" spans="1:13" ht="28.8" x14ac:dyDescent="0.3">
      <c r="A36" s="2">
        <v>26</v>
      </c>
      <c r="B36" s="14">
        <v>800</v>
      </c>
      <c r="C36" s="14">
        <v>0.06</v>
      </c>
      <c r="D36" s="14">
        <v>50000</v>
      </c>
      <c r="E36" s="14">
        <v>100000</v>
      </c>
      <c r="F36" s="14">
        <v>0.25</v>
      </c>
      <c r="G36" s="3"/>
      <c r="H36" s="3"/>
      <c r="I36" s="3"/>
      <c r="J36" s="3"/>
      <c r="K36" s="9">
        <f t="shared" si="1"/>
        <v>1</v>
      </c>
      <c r="L36" s="10" t="s">
        <v>60</v>
      </c>
      <c r="M36" s="17" t="s">
        <v>65</v>
      </c>
    </row>
    <row r="37" spans="1:13" ht="28.8" x14ac:dyDescent="0.3">
      <c r="A37" s="2">
        <v>27</v>
      </c>
      <c r="B37" s="14">
        <v>800</v>
      </c>
      <c r="C37" s="14">
        <v>0.02</v>
      </c>
      <c r="D37" s="14">
        <v>60000</v>
      </c>
      <c r="E37" s="14">
        <v>120000</v>
      </c>
      <c r="F37" s="14">
        <v>0.3</v>
      </c>
      <c r="G37" s="3"/>
      <c r="H37" s="3"/>
      <c r="I37" s="3"/>
      <c r="J37" s="3"/>
      <c r="K37" s="9">
        <f t="shared" si="1"/>
        <v>1</v>
      </c>
      <c r="L37" s="10" t="s">
        <v>66</v>
      </c>
      <c r="M37" s="17" t="s">
        <v>69</v>
      </c>
    </row>
    <row r="38" spans="1:13" ht="43.2" x14ac:dyDescent="0.3">
      <c r="A38" s="2">
        <v>28</v>
      </c>
      <c r="B38" s="14">
        <v>1000</v>
      </c>
      <c r="C38" s="14">
        <v>0.04</v>
      </c>
      <c r="D38" s="14">
        <v>60000</v>
      </c>
      <c r="E38" s="14">
        <v>120000</v>
      </c>
      <c r="F38" s="14">
        <v>0.3</v>
      </c>
      <c r="G38" s="3"/>
      <c r="H38" s="3"/>
      <c r="I38" s="3"/>
      <c r="J38" s="3"/>
      <c r="K38" s="9">
        <f t="shared" si="1"/>
        <v>1</v>
      </c>
      <c r="L38" s="10" t="s">
        <v>67</v>
      </c>
      <c r="M38" s="17" t="s">
        <v>70</v>
      </c>
    </row>
    <row r="39" spans="1:13" ht="72" x14ac:dyDescent="0.3">
      <c r="A39" s="2">
        <v>29</v>
      </c>
      <c r="B39" s="14">
        <v>1000</v>
      </c>
      <c r="C39" s="14">
        <v>0.02</v>
      </c>
      <c r="D39" s="14">
        <v>60000</v>
      </c>
      <c r="E39" s="14">
        <v>120000</v>
      </c>
      <c r="F39" s="14">
        <v>0.3</v>
      </c>
      <c r="G39" s="3"/>
      <c r="H39" s="3"/>
      <c r="I39" s="3"/>
      <c r="J39" s="3"/>
      <c r="K39" s="9">
        <f t="shared" si="1"/>
        <v>1</v>
      </c>
      <c r="L39" s="10" t="s">
        <v>68</v>
      </c>
      <c r="M39" s="17" t="s">
        <v>71</v>
      </c>
    </row>
  </sheetData>
  <mergeCells count="4">
    <mergeCell ref="A3:M3"/>
    <mergeCell ref="A1:M1"/>
    <mergeCell ref="A2:M2"/>
    <mergeCell ref="A30:M30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Haraburda Piotr</dc:creator>
  <cp:lastModifiedBy>Haraburda Piotr</cp:lastModifiedBy>
  <dcterms:created xsi:type="dcterms:W3CDTF">2026-03-30T15:22:10Z</dcterms:created>
  <dcterms:modified xsi:type="dcterms:W3CDTF">2026-04-17T06:24:41Z</dcterms:modified>
</cp:coreProperties>
</file>